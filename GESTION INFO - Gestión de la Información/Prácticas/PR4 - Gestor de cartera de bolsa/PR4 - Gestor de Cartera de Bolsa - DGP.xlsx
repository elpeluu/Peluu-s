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adro de mando" sheetId="1" r:id="rId4"/>
    <sheet state="visible" name="Evolución Temporal" sheetId="2" r:id="rId5"/>
    <sheet state="visible" name="Variación de valor de cartera" sheetId="3" r:id="rId6"/>
    <sheet state="visible" name="Calculos valores de las 10 empr" sheetId="4" r:id="rId7"/>
  </sheets>
  <definedNames/>
  <calcPr/>
</workbook>
</file>

<file path=xl/sharedStrings.xml><?xml version="1.0" encoding="utf-8"?>
<sst xmlns="http://schemas.openxmlformats.org/spreadsheetml/2006/main" count="127" uniqueCount="65">
  <si>
    <t>Empresa</t>
  </si>
  <si>
    <t>Código de Cotización</t>
  </si>
  <si>
    <t xml:space="preserve">Empresa seleccionada: </t>
  </si>
  <si>
    <t>Apple</t>
  </si>
  <si>
    <t>AAPL</t>
  </si>
  <si>
    <t>Google</t>
  </si>
  <si>
    <t>GOOG</t>
  </si>
  <si>
    <t>Microsoft</t>
  </si>
  <si>
    <t>MSFT</t>
  </si>
  <si>
    <t>Amazon</t>
  </si>
  <si>
    <t>AMZN</t>
  </si>
  <si>
    <t>Análisis semanal de cotización en el último año</t>
  </si>
  <si>
    <t>Tesla</t>
  </si>
  <si>
    <t>TSLA</t>
  </si>
  <si>
    <t>Intel</t>
  </si>
  <si>
    <t>INTC</t>
  </si>
  <si>
    <t>Coca-Cola</t>
  </si>
  <si>
    <t>KO</t>
  </si>
  <si>
    <t>Pfizer</t>
  </si>
  <si>
    <t>PFE</t>
  </si>
  <si>
    <t>JP Morgan</t>
  </si>
  <si>
    <t>JPM</t>
  </si>
  <si>
    <t>Nvidia</t>
  </si>
  <si>
    <t>NVDA</t>
  </si>
  <si>
    <t>Descripción de Terminos</t>
  </si>
  <si>
    <t>Open</t>
  </si>
  <si>
    <t>Precio al que comienza a cotizar la acción en ese periodo de tiempo (semana)</t>
  </si>
  <si>
    <t>High</t>
  </si>
  <si>
    <t xml:space="preserve">Precio mas alto alcanzado esa semana </t>
  </si>
  <si>
    <t>Low</t>
  </si>
  <si>
    <t>Precio más bajo alcanzado esa semana</t>
  </si>
  <si>
    <t xml:space="preserve">Close </t>
  </si>
  <si>
    <t>Precio al que finaliza la cotización de la acción esa semana</t>
  </si>
  <si>
    <t>Volume</t>
  </si>
  <si>
    <t>Número total de acciones negociadas en ese periodo</t>
  </si>
  <si>
    <t>Análisis de valores anualmente</t>
  </si>
  <si>
    <t>Análisis de valores mensualmente</t>
  </si>
  <si>
    <t>Análisis de valores semanalmente</t>
  </si>
  <si>
    <t>Media móvil (Últimos 20 días)</t>
  </si>
  <si>
    <t>Media móvil (Últimos 3 días)</t>
  </si>
  <si>
    <t>Media móvil (Últimos 2 días)</t>
  </si>
  <si>
    <t>-</t>
  </si>
  <si>
    <t>Composición de la cartera</t>
  </si>
  <si>
    <t>Beneficios por empresa</t>
  </si>
  <si>
    <t xml:space="preserve">Beneficio total de la cartera </t>
  </si>
  <si>
    <t>Acciones (%)</t>
  </si>
  <si>
    <t xml:space="preserve">Precio Hoy </t>
  </si>
  <si>
    <t>Precio hace 1 año</t>
  </si>
  <si>
    <t>Beneficio</t>
  </si>
  <si>
    <t xml:space="preserve">Microsoft </t>
  </si>
  <si>
    <t xml:space="preserve">Google </t>
  </si>
  <si>
    <t xml:space="preserve">Tesla </t>
  </si>
  <si>
    <t>Coca Cola</t>
  </si>
  <si>
    <t>Total</t>
  </si>
  <si>
    <t>Cantidad invertida</t>
  </si>
  <si>
    <t>Close Google</t>
  </si>
  <si>
    <t>Close Apple</t>
  </si>
  <si>
    <t>Close Microsoft</t>
  </si>
  <si>
    <t>Close JP Morgan</t>
  </si>
  <si>
    <t>Close Amazon</t>
  </si>
  <si>
    <t>Close Tesla</t>
  </si>
  <si>
    <t>Close Pfizer</t>
  </si>
  <si>
    <t>Close Intel</t>
  </si>
  <si>
    <t>Close Coca-Cola</t>
  </si>
  <si>
    <t>Close Nvidia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</si>
</sst>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M/yyyy"/>
    <numFmt numFmtId="165" formatCode="m/d/yyyy h:mm:ss"/>
    <numFmt numFmtId="166" formatCode="#,##0.00\ [$€-1]"/>
    <numFmt numFmtId="167" formatCode="0.0000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10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rgb="FFFF0000"/>
        <bgColor rgb="FFFF0000"/>
      </patternFill>
    </fill>
    <fill>
      <patternFill patternType="solid">
        <fgColor rgb="FF6FA8DC"/>
        <bgColor rgb="FF6FA8DC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4" fillId="3" fontId="1" numFmtId="0" xfId="0" applyAlignment="1" applyBorder="1" applyFill="1" applyFont="1">
      <alignment horizontal="center" readingOrder="0"/>
    </xf>
    <xf borderId="5" fillId="0" fontId="3" numFmtId="0" xfId="0" applyBorder="1" applyFont="1"/>
    <xf borderId="6" fillId="0" fontId="3" numFmtId="0" xfId="0" applyBorder="1" applyFont="1"/>
    <xf borderId="7" fillId="0" fontId="1" numFmtId="0" xfId="0" applyBorder="1" applyFont="1"/>
    <xf borderId="8" fillId="0" fontId="2" numFmtId="164" xfId="0" applyBorder="1" applyFont="1" applyNumberFormat="1"/>
    <xf borderId="8" fillId="0" fontId="2" numFmtId="0" xfId="0" applyBorder="1" applyFont="1"/>
    <xf borderId="9" fillId="0" fontId="2" numFmtId="0" xfId="0" applyAlignment="1" applyBorder="1" applyFont="1">
      <alignment readingOrder="0"/>
    </xf>
    <xf borderId="10" fillId="4" fontId="1" numFmtId="0" xfId="0" applyAlignment="1" applyBorder="1" applyFill="1" applyFont="1">
      <alignment horizontal="center" readingOrder="0"/>
    </xf>
    <xf borderId="11" fillId="0" fontId="3" numFmtId="0" xfId="0" applyBorder="1" applyFont="1"/>
    <xf borderId="2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horizontal="center" readingOrder="0" shrinkToFit="0" vertical="center" wrapText="1"/>
    </xf>
    <xf borderId="9" fillId="0" fontId="2" numFmtId="0" xfId="0" applyAlignment="1" applyBorder="1" applyFont="1">
      <alignment horizontal="center" readingOrder="0" vertical="center"/>
    </xf>
    <xf borderId="9" fillId="0" fontId="2" numFmtId="0" xfId="0" applyAlignment="1" applyBorder="1" applyFont="1">
      <alignment horizontal="center" readingOrder="0" shrinkToFit="0" vertical="center" wrapText="1"/>
    </xf>
    <xf borderId="12" fillId="0" fontId="2" numFmtId="164" xfId="0" applyBorder="1" applyFont="1" applyNumberFormat="1"/>
    <xf borderId="12" fillId="0" fontId="2" numFmtId="0" xfId="0" applyBorder="1" applyFont="1"/>
    <xf borderId="0" fillId="3" fontId="1" numFmtId="0" xfId="0" applyAlignment="1" applyFont="1">
      <alignment horizontal="center" readingOrder="0"/>
    </xf>
    <xf borderId="0" fillId="5" fontId="1" numFmtId="0" xfId="0" applyAlignment="1" applyFill="1" applyFont="1">
      <alignment horizontal="center" readingOrder="0"/>
    </xf>
    <xf borderId="0" fillId="6" fontId="1" numFmtId="0" xfId="0" applyAlignment="1" applyFill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readingOrder="0" shrinkToFit="0" wrapText="1"/>
    </xf>
    <xf borderId="0" fillId="0" fontId="2" numFmtId="164" xfId="0" applyFont="1" applyNumberFormat="1"/>
    <xf borderId="0" fillId="0" fontId="2" numFmtId="2" xfId="0" applyAlignment="1" applyFont="1" applyNumberFormat="1">
      <alignment horizontal="center" readingOrder="0"/>
    </xf>
    <xf borderId="0" fillId="0" fontId="2" numFmtId="0" xfId="0" applyFont="1"/>
    <xf borderId="0" fillId="0" fontId="2" numFmtId="0" xfId="0" applyAlignment="1" applyFont="1">
      <alignment horizontal="center" readingOrder="0"/>
    </xf>
    <xf borderId="0" fillId="0" fontId="2" numFmtId="2" xfId="0" applyFont="1" applyNumberFormat="1"/>
    <xf borderId="0" fillId="0" fontId="2" numFmtId="165" xfId="0" applyFont="1" applyNumberFormat="1"/>
    <xf borderId="10" fillId="7" fontId="1" numFmtId="0" xfId="0" applyAlignment="1" applyBorder="1" applyFill="1" applyFont="1">
      <alignment horizontal="center" readingOrder="0"/>
    </xf>
    <xf borderId="10" fillId="3" fontId="1" numFmtId="0" xfId="0" applyAlignment="1" applyBorder="1" applyFont="1">
      <alignment horizontal="center" readingOrder="0"/>
    </xf>
    <xf borderId="1" fillId="5" fontId="1" numFmtId="0" xfId="0" applyAlignment="1" applyBorder="1" applyFont="1">
      <alignment readingOrder="0"/>
    </xf>
    <xf borderId="1" fillId="8" fontId="1" numFmtId="0" xfId="0" applyAlignment="1" applyBorder="1" applyFill="1" applyFont="1">
      <alignment readingOrder="0"/>
    </xf>
    <xf borderId="1" fillId="9" fontId="1" numFmtId="0" xfId="0" applyAlignment="1" applyBorder="1" applyFill="1" applyFont="1">
      <alignment readingOrder="0"/>
    </xf>
    <xf borderId="1" fillId="0" fontId="2" numFmtId="166" xfId="0" applyBorder="1" applyFont="1" applyNumberFormat="1"/>
    <xf borderId="2" fillId="0" fontId="2" numFmtId="0" xfId="0" applyAlignment="1" applyBorder="1" applyFont="1">
      <alignment horizontal="right" readingOrder="0"/>
    </xf>
    <xf borderId="13" fillId="0" fontId="2" numFmtId="0" xfId="0" applyAlignment="1" applyBorder="1" applyFont="1">
      <alignment readingOrder="0"/>
    </xf>
    <xf borderId="2" fillId="0" fontId="2" numFmtId="10" xfId="0" applyAlignment="1" applyBorder="1" applyFont="1" applyNumberFormat="1">
      <alignment readingOrder="0"/>
    </xf>
    <xf borderId="1" fillId="0" fontId="2" numFmtId="0" xfId="0" applyBorder="1" applyFont="1"/>
    <xf borderId="2" fillId="0" fontId="2" numFmtId="167" xfId="0" applyBorder="1" applyFont="1" applyNumberFormat="1"/>
    <xf borderId="3" fillId="0" fontId="2" numFmtId="0" xfId="0" applyAlignment="1" applyBorder="1" applyFont="1">
      <alignment horizontal="right" readingOrder="0"/>
    </xf>
    <xf borderId="14" fillId="0" fontId="2" numFmtId="0" xfId="0" applyAlignment="1" applyBorder="1" applyFont="1">
      <alignment readingOrder="0"/>
    </xf>
    <xf borderId="3" fillId="0" fontId="2" numFmtId="10" xfId="0" applyAlignment="1" applyBorder="1" applyFont="1" applyNumberFormat="1">
      <alignment readingOrder="0"/>
    </xf>
    <xf borderId="3" fillId="0" fontId="2" numFmtId="167" xfId="0" applyBorder="1" applyFont="1" applyNumberFormat="1"/>
    <xf borderId="9" fillId="0" fontId="2" numFmtId="0" xfId="0" applyAlignment="1" applyBorder="1" applyFont="1">
      <alignment horizontal="right" readingOrder="0"/>
    </xf>
    <xf borderId="15" fillId="0" fontId="2" numFmtId="0" xfId="0" applyAlignment="1" applyBorder="1" applyFont="1">
      <alignment readingOrder="0"/>
    </xf>
    <xf borderId="9" fillId="0" fontId="2" numFmtId="10" xfId="0" applyAlignment="1" applyBorder="1" applyFont="1" applyNumberFormat="1">
      <alignment readingOrder="0"/>
    </xf>
    <xf borderId="9" fillId="0" fontId="2" numFmtId="167" xfId="0" applyBorder="1" applyFont="1" applyNumberFormat="1"/>
    <xf borderId="1" fillId="0" fontId="2" numFmtId="10" xfId="0" applyBorder="1" applyFont="1" applyNumberFormat="1"/>
    <xf borderId="0" fillId="0" fontId="2" numFmtId="0" xfId="0" applyAlignment="1" applyFont="1">
      <alignment readingOrder="0"/>
    </xf>
    <xf borderId="1" fillId="7" fontId="1" numFmtId="0" xfId="0" applyAlignment="1" applyBorder="1" applyFont="1">
      <alignment readingOrder="0"/>
    </xf>
    <xf borderId="1" fillId="0" fontId="2" numFmtId="166" xfId="0" applyAlignment="1" applyBorder="1" applyFont="1" applyNumberFormat="1">
      <alignment readingOrder="0"/>
    </xf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Indicador de tendencia del Precio de Cierre (Close) Semanal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'Cuadro de mando'!$I$7:$I$8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'Cuadro de mando'!$E$9:$E$61</c:f>
            </c:strRef>
          </c:cat>
          <c:val>
            <c:numRef>
              <c:f>'Cuadro de mando'!$I$9:$I$61</c:f>
              <c:numCache/>
            </c:numRef>
          </c:val>
          <c:smooth val="0"/>
        </c:ser>
        <c:axId val="679025918"/>
        <c:axId val="1996816816"/>
      </c:lineChart>
      <c:catAx>
        <c:axId val="6790259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6816816"/>
      </c:catAx>
      <c:valAx>
        <c:axId val="19968168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902591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Precio de Cierre de las 10 empresas semanalmente (Último año)</a:t>
            </a:r>
          </a:p>
        </c:rich>
      </c:tx>
      <c:overlay val="0"/>
    </c:title>
    <c:plotArea>
      <c:layout/>
      <c:lineChart>
        <c:ser>
          <c:idx val="0"/>
          <c:order val="0"/>
          <c:tx>
            <c:v>Nvidia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'Calculos valores de las 10 empr'!$B$6:$B$59</c:f>
            </c:strRef>
          </c:cat>
          <c:val>
            <c:numRef>
              <c:f>'Calculos valores de las 10 empr'!$AA$65:$AA$115</c:f>
              <c:numCache/>
            </c:numRef>
          </c:val>
          <c:smooth val="0"/>
        </c:ser>
        <c:ser>
          <c:idx val="1"/>
          <c:order val="1"/>
          <c:tx>
            <c:v>Coca-Cola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'Calculos valores de las 10 empr'!$B$6:$B$59</c:f>
            </c:strRef>
          </c:cat>
          <c:val>
            <c:numRef>
              <c:f>'Calculos valores de las 10 empr'!$T$65:$T$115</c:f>
              <c:numCache/>
            </c:numRef>
          </c:val>
          <c:smooth val="0"/>
        </c:ser>
        <c:ser>
          <c:idx val="2"/>
          <c:order val="2"/>
          <c:tx>
            <c:v>Intel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'Calculos valores de las 10 empr'!$B$6:$B$59</c:f>
            </c:strRef>
          </c:cat>
          <c:val>
            <c:numRef>
              <c:f>'Calculos valores de las 10 empr'!$M$65:$M$115</c:f>
              <c:numCache/>
            </c:numRef>
          </c:val>
          <c:smooth val="0"/>
        </c:ser>
        <c:ser>
          <c:idx val="3"/>
          <c:order val="3"/>
          <c:tx>
            <c:v>Pfizer</c:v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'Calculos valores de las 10 empr'!$B$6:$B$59</c:f>
            </c:strRef>
          </c:cat>
          <c:val>
            <c:numRef>
              <c:f>'Calculos valores de las 10 empr'!$F$65:$F$115</c:f>
              <c:numCache/>
            </c:numRef>
          </c:val>
          <c:smooth val="0"/>
        </c:ser>
        <c:ser>
          <c:idx val="4"/>
          <c:order val="4"/>
          <c:tx>
            <c:v>Google</c:v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'Calculos valores de las 10 empr'!$B$6:$B$59</c:f>
            </c:strRef>
          </c:cat>
          <c:val>
            <c:numRef>
              <c:f>'Calculos valores de las 10 empr'!$F$8:$F$58</c:f>
              <c:numCache/>
            </c:numRef>
          </c:val>
          <c:smooth val="0"/>
        </c:ser>
        <c:ser>
          <c:idx val="5"/>
          <c:order val="5"/>
          <c:tx>
            <c:v>Apple</c:v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'Calculos valores de las 10 empr'!$B$6:$B$59</c:f>
            </c:strRef>
          </c:cat>
          <c:val>
            <c:numRef>
              <c:f>'Calculos valores de las 10 empr'!$M$8:$M$58</c:f>
              <c:numCache/>
            </c:numRef>
          </c:val>
          <c:smooth val="0"/>
        </c:ser>
        <c:ser>
          <c:idx val="6"/>
          <c:order val="6"/>
          <c:tx>
            <c:v>Microsoft</c:v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'Calculos valores de las 10 empr'!$B$6:$B$59</c:f>
            </c:strRef>
          </c:cat>
          <c:val>
            <c:numRef>
              <c:f>'Calculos valores de las 10 empr'!$T$8:$T$58</c:f>
              <c:numCache/>
            </c:numRef>
          </c:val>
          <c:smooth val="0"/>
        </c:ser>
        <c:ser>
          <c:idx val="7"/>
          <c:order val="7"/>
          <c:tx>
            <c:v>JP Morgan</c:v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'Calculos valores de las 10 empr'!$B$6:$B$59</c:f>
            </c:strRef>
          </c:cat>
          <c:val>
            <c:numRef>
              <c:f>'Calculos valores de las 10 empr'!$AA$8:$AA$58</c:f>
              <c:numCache/>
            </c:numRef>
          </c:val>
          <c:smooth val="0"/>
        </c:ser>
        <c:ser>
          <c:idx val="8"/>
          <c:order val="8"/>
          <c:tx>
            <c:v>Amazon</c:v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'Calculos valores de las 10 empr'!$B$6:$B$59</c:f>
            </c:strRef>
          </c:cat>
          <c:val>
            <c:numRef>
              <c:f>'Calculos valores de las 10 empr'!$AH$8:$AH$58</c:f>
              <c:numCache/>
            </c:numRef>
          </c:val>
          <c:smooth val="0"/>
        </c:ser>
        <c:ser>
          <c:idx val="9"/>
          <c:order val="9"/>
          <c:tx>
            <c:v>Tesla</c:v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strRef>
              <c:f>'Calculos valores de las 10 empr'!$B$6:$B$59</c:f>
            </c:strRef>
          </c:cat>
          <c:val>
            <c:numRef>
              <c:f>'Calculos valores de las 10 empr'!$AO$8:$AO$58</c:f>
              <c:numCache/>
            </c:numRef>
          </c:val>
          <c:smooth val="0"/>
        </c:ser>
        <c:axId val="1411953306"/>
        <c:axId val="2141263565"/>
      </c:lineChart>
      <c:catAx>
        <c:axId val="14119533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1263565"/>
      </c:catAx>
      <c:valAx>
        <c:axId val="21412635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19533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Evolución temporal anual de Pecio de Cierre (Close)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'Evolución Temporal'!$G$58</c:f>
            </c:strRef>
          </c:tx>
          <c:spPr>
            <a:ln cmpd="sng">
              <a:solidFill>
                <a:srgbClr val="93C47D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'Evolución Temporal'!$C$59:$C$308</c:f>
            </c:strRef>
          </c:cat>
          <c:val>
            <c:numRef>
              <c:f>'Evolución Temporal'!$G$59:$G$308</c:f>
              <c:numCache/>
            </c:numRef>
          </c:val>
          <c:smooth val="0"/>
        </c:ser>
        <c:axId val="939065786"/>
        <c:axId val="1301722938"/>
      </c:lineChart>
      <c:catAx>
        <c:axId val="9390657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Fecha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1722938"/>
      </c:catAx>
      <c:valAx>
        <c:axId val="13017229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90657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Evolución temporal anual del Volumen (Volume)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'Evolución Temporal'!$H$58</c:f>
            </c:strRef>
          </c:tx>
          <c:spPr>
            <a:ln cmpd="sng">
              <a:solidFill>
                <a:srgbClr val="93C47D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'Evolución Temporal'!$C$59:$C$308</c:f>
            </c:strRef>
          </c:cat>
          <c:val>
            <c:numRef>
              <c:f>'Evolución Temporal'!$H$59:$H$308</c:f>
              <c:numCache/>
            </c:numRef>
          </c:val>
          <c:smooth val="0"/>
        </c:ser>
        <c:axId val="159748643"/>
        <c:axId val="1006888468"/>
      </c:lineChart>
      <c:catAx>
        <c:axId val="1597486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Fecha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6888468"/>
      </c:catAx>
      <c:valAx>
        <c:axId val="10068884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7486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Evolución mensial Precio Cierre (Close)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'Evolución Temporal'!$O$58:$O$59</c:f>
            </c:strRef>
          </c:tx>
          <c:spPr>
            <a:ln cmpd="sng">
              <a:solidFill>
                <a:srgbClr val="FFD966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FFD966">
                  <a:alpha val="100000"/>
                </a:srgbClr>
              </a:solidFill>
              <a:ln cmpd="sng">
                <a:solidFill>
                  <a:srgbClr val="FFD966">
                    <a:alpha val="100000"/>
                  </a:srgbClr>
                </a:solidFill>
              </a:ln>
            </c:spPr>
          </c:marker>
          <c:cat>
            <c:strRef>
              <c:f>'Evolución Temporal'!$K$60:$K$80</c:f>
            </c:strRef>
          </c:cat>
          <c:val>
            <c:numRef>
              <c:f>'Evolución Temporal'!$O$60:$O$80</c:f>
              <c:numCache/>
            </c:numRef>
          </c:val>
          <c:smooth val="0"/>
        </c:ser>
        <c:axId val="1235623827"/>
        <c:axId val="1969182241"/>
      </c:lineChart>
      <c:catAx>
        <c:axId val="12356238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Fecha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9182241"/>
      </c:catAx>
      <c:valAx>
        <c:axId val="19691822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Precio Cierre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56238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Evolución mensual Volumen (Volume)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'Evolución Temporal'!$P$60:$P$61</c:f>
            </c:strRef>
          </c:tx>
          <c:spPr>
            <a:ln cmpd="sng">
              <a:solidFill>
                <a:srgbClr val="FFD966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FFD966">
                  <a:alpha val="100000"/>
                </a:srgbClr>
              </a:solidFill>
              <a:ln cmpd="sng">
                <a:solidFill>
                  <a:srgbClr val="FFD966">
                    <a:alpha val="100000"/>
                  </a:srgbClr>
                </a:solidFill>
              </a:ln>
            </c:spPr>
          </c:marker>
          <c:cat>
            <c:strRef>
              <c:f>'Evolución Temporal'!$K$60:$K$80</c:f>
            </c:strRef>
          </c:cat>
          <c:val>
            <c:numRef>
              <c:f>'Evolución Temporal'!$P$62:$P$80</c:f>
              <c:numCache/>
            </c:numRef>
          </c:val>
          <c:smooth val="0"/>
        </c:ser>
        <c:axId val="922439152"/>
        <c:axId val="1131113037"/>
      </c:lineChart>
      <c:catAx>
        <c:axId val="922439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Fecha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1113037"/>
      </c:catAx>
      <c:valAx>
        <c:axId val="11311130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Volumen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24391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Evolución semanal Precio Cierre (Close)</a:t>
            </a:r>
          </a:p>
        </c:rich>
      </c:tx>
      <c:layout>
        <c:manualLayout>
          <c:xMode val="edge"/>
          <c:yMode val="edge"/>
          <c:x val="0.03091666666666667"/>
          <c:y val="0.044609164420485174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'Evolución Temporal'!$W$58:$W$60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dPt>
            <c:idx val="1"/>
            <c:marker>
              <c:symbol val="none"/>
            </c:marker>
          </c:dPt>
          <c:cat>
            <c:strRef>
              <c:f>'Evolución Temporal'!$S$61:$S$64</c:f>
            </c:strRef>
          </c:cat>
          <c:val>
            <c:numRef>
              <c:f>'Evolución Temporal'!$W$61:$W$64</c:f>
              <c:numCache/>
            </c:numRef>
          </c:val>
          <c:smooth val="0"/>
        </c:ser>
        <c:axId val="1421507174"/>
        <c:axId val="723786232"/>
      </c:lineChart>
      <c:catAx>
        <c:axId val="14215071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Fecha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3786232"/>
      </c:catAx>
      <c:valAx>
        <c:axId val="7237862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Precio Cierre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15071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Evolución semanal Volumen (Volume)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'Evolución Temporal'!$X$58:$X$60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cat>
            <c:strRef>
              <c:f>'Evolución Temporal'!$S$61:$S$64</c:f>
            </c:strRef>
          </c:cat>
          <c:val>
            <c:numRef>
              <c:f>'Evolución Temporal'!$X$61:$X$64</c:f>
              <c:numCache/>
            </c:numRef>
          </c:val>
          <c:smooth val="0"/>
        </c:ser>
        <c:axId val="500677502"/>
        <c:axId val="1847878290"/>
      </c:lineChart>
      <c:catAx>
        <c:axId val="5006775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Fecha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7878290"/>
      </c:catAx>
      <c:valAx>
        <c:axId val="18478782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Volumen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06775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Precio Cierre (Close) y Media Móvil anualmente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'Evolución Temporal'!$G$59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'Evolución Temporal'!$C$59:$C$308</c:f>
            </c:strRef>
          </c:cat>
          <c:val>
            <c:numRef>
              <c:f>'Evolución Temporal'!$G$60:$G$308</c:f>
              <c:numCache/>
            </c:numRef>
          </c:val>
          <c:smooth val="0"/>
        </c:ser>
        <c:ser>
          <c:idx val="1"/>
          <c:order val="1"/>
          <c:tx>
            <c:strRef>
              <c:f>'Evolución Temporal'!$I$59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'Evolución Temporal'!$C$59:$C$308</c:f>
            </c:strRef>
          </c:cat>
          <c:val>
            <c:numRef>
              <c:f>'Evolución Temporal'!$I$60:$I$308</c:f>
              <c:numCache/>
            </c:numRef>
          </c:val>
          <c:smooth val="0"/>
        </c:ser>
        <c:axId val="1211186084"/>
        <c:axId val="2073779595"/>
      </c:lineChart>
      <c:catAx>
        <c:axId val="12111860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3779595"/>
      </c:catAx>
      <c:valAx>
        <c:axId val="20737795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Media móvil (Últimos 20 días)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11860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Precio Cierre (Close) y Media Móvil mensualmente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'Evolución Temporal'!$O$59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'Evolución Temporal'!$K$60:$K$80</c:f>
            </c:strRef>
          </c:cat>
          <c:val>
            <c:numRef>
              <c:f>'Evolución Temporal'!$O$60:$O$80</c:f>
              <c:numCache/>
            </c:numRef>
          </c:val>
          <c:smooth val="0"/>
        </c:ser>
        <c:ser>
          <c:idx val="1"/>
          <c:order val="1"/>
          <c:tx>
            <c:strRef>
              <c:f>'Evolución Temporal'!$Q$59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'Evolución Temporal'!$K$60:$K$80</c:f>
            </c:strRef>
          </c:cat>
          <c:val>
            <c:numRef>
              <c:f>'Evolución Temporal'!$Q$60:$Q$80</c:f>
              <c:numCache/>
            </c:numRef>
          </c:val>
          <c:smooth val="0"/>
        </c:ser>
        <c:axId val="2029998978"/>
        <c:axId val="567182196"/>
      </c:lineChart>
      <c:catAx>
        <c:axId val="20299989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7182196"/>
      </c:catAx>
      <c:valAx>
        <c:axId val="5671821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99989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Precio Cierre (Close) y Media Móvil semanalmente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Close</c:v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'Evolución Temporal'!$S$61:$S$64</c:f>
            </c:strRef>
          </c:cat>
          <c:val>
            <c:numRef>
              <c:f>'Evolución Temporal'!$W$61:$W$64</c:f>
              <c:numCache/>
            </c:numRef>
          </c:val>
          <c:smooth val="0"/>
        </c:ser>
        <c:ser>
          <c:idx val="1"/>
          <c:order val="1"/>
          <c:tx>
            <c:v>Media Móvil (Últimos 2 días)</c:v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'Evolución Temporal'!$S$61:$S$64</c:f>
            </c:strRef>
          </c:cat>
          <c:val>
            <c:numRef>
              <c:f>'Evolución Temporal'!$Y$61:$Y$64</c:f>
              <c:numCache/>
            </c:numRef>
          </c:val>
          <c:smooth val="0"/>
        </c:ser>
        <c:axId val="220638447"/>
        <c:axId val="1945131544"/>
      </c:lineChart>
      <c:catAx>
        <c:axId val="2206384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5131544"/>
      </c:catAx>
      <c:valAx>
        <c:axId val="19451315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06384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Precio de Cierre de las 10 empresas</a:t>
            </a:r>
          </a:p>
        </c:rich>
      </c:tx>
      <c:overlay val="0"/>
    </c:title>
    <c:plotArea>
      <c:layout/>
      <c:lineChart>
        <c:ser>
          <c:idx val="0"/>
          <c:order val="0"/>
          <c:tx>
            <c:v>Nvidia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'Calculos valores de las 10 empr'!$B$6:$B$59</c:f>
            </c:strRef>
          </c:cat>
          <c:val>
            <c:numRef>
              <c:f>'Calculos valores de las 10 empr'!$AA$65:$AA$115</c:f>
              <c:numCache/>
            </c:numRef>
          </c:val>
          <c:smooth val="0"/>
        </c:ser>
        <c:ser>
          <c:idx val="1"/>
          <c:order val="1"/>
          <c:tx>
            <c:v>Coca-Cola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'Calculos valores de las 10 empr'!$B$6:$B$59</c:f>
            </c:strRef>
          </c:cat>
          <c:val>
            <c:numRef>
              <c:f>'Calculos valores de las 10 empr'!$T$65:$T$115</c:f>
              <c:numCache/>
            </c:numRef>
          </c:val>
          <c:smooth val="0"/>
        </c:ser>
        <c:ser>
          <c:idx val="2"/>
          <c:order val="2"/>
          <c:tx>
            <c:v>Intel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'Calculos valores de las 10 empr'!$B$6:$B$59</c:f>
            </c:strRef>
          </c:cat>
          <c:val>
            <c:numRef>
              <c:f>'Calculos valores de las 10 empr'!$M$65:$M$115</c:f>
              <c:numCache/>
            </c:numRef>
          </c:val>
          <c:smooth val="0"/>
        </c:ser>
        <c:ser>
          <c:idx val="3"/>
          <c:order val="3"/>
          <c:tx>
            <c:v>Pfizer</c:v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'Calculos valores de las 10 empr'!$B$6:$B$59</c:f>
            </c:strRef>
          </c:cat>
          <c:val>
            <c:numRef>
              <c:f>'Calculos valores de las 10 empr'!$F$65:$F$115</c:f>
              <c:numCache/>
            </c:numRef>
          </c:val>
          <c:smooth val="0"/>
        </c:ser>
        <c:ser>
          <c:idx val="4"/>
          <c:order val="4"/>
          <c:tx>
            <c:v>Google</c:v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'Calculos valores de las 10 empr'!$B$6:$B$59</c:f>
            </c:strRef>
          </c:cat>
          <c:val>
            <c:numRef>
              <c:f>'Calculos valores de las 10 empr'!$F$8:$F$58</c:f>
              <c:numCache/>
            </c:numRef>
          </c:val>
          <c:smooth val="0"/>
        </c:ser>
        <c:ser>
          <c:idx val="5"/>
          <c:order val="5"/>
          <c:tx>
            <c:v>Apple</c:v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'Calculos valores de las 10 empr'!$B$6:$B$59</c:f>
            </c:strRef>
          </c:cat>
          <c:val>
            <c:numRef>
              <c:f>'Calculos valores de las 10 empr'!$M$8:$M$58</c:f>
              <c:numCache/>
            </c:numRef>
          </c:val>
          <c:smooth val="0"/>
        </c:ser>
        <c:ser>
          <c:idx val="6"/>
          <c:order val="6"/>
          <c:tx>
            <c:v>Microsoft</c:v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'Calculos valores de las 10 empr'!$B$6:$B$59</c:f>
            </c:strRef>
          </c:cat>
          <c:val>
            <c:numRef>
              <c:f>'Calculos valores de las 10 empr'!$T$8:$T$58</c:f>
              <c:numCache/>
            </c:numRef>
          </c:val>
          <c:smooth val="0"/>
        </c:ser>
        <c:ser>
          <c:idx val="7"/>
          <c:order val="7"/>
          <c:tx>
            <c:v>JP Morgan</c:v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'Calculos valores de las 10 empr'!$B$6:$B$59</c:f>
            </c:strRef>
          </c:cat>
          <c:val>
            <c:numRef>
              <c:f>'Calculos valores de las 10 empr'!$AA$8:$AA$58</c:f>
              <c:numCache/>
            </c:numRef>
          </c:val>
          <c:smooth val="0"/>
        </c:ser>
        <c:ser>
          <c:idx val="8"/>
          <c:order val="8"/>
          <c:tx>
            <c:v>Amazon</c:v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'Calculos valores de las 10 empr'!$B$6:$B$59</c:f>
            </c:strRef>
          </c:cat>
          <c:val>
            <c:numRef>
              <c:f>'Calculos valores de las 10 empr'!$AH$8:$AH$58</c:f>
              <c:numCache/>
            </c:numRef>
          </c:val>
          <c:smooth val="0"/>
        </c:ser>
        <c:ser>
          <c:idx val="9"/>
          <c:order val="9"/>
          <c:tx>
            <c:v>Tesla</c:v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strRef>
              <c:f>'Calculos valores de las 10 empr'!$B$6:$B$59</c:f>
            </c:strRef>
          </c:cat>
          <c:val>
            <c:numRef>
              <c:f>'Calculos valores de las 10 empr'!$AO$8:$AO$58</c:f>
              <c:numCache/>
            </c:numRef>
          </c:val>
          <c:smooth val="0"/>
        </c:ser>
        <c:axId val="1436866597"/>
        <c:axId val="696342947"/>
      </c:lineChart>
      <c:catAx>
        <c:axId val="14368665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6342947"/>
      </c:catAx>
      <c:valAx>
        <c:axId val="6963429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68665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5" Type="http://schemas.openxmlformats.org/officeDocument/2006/relationships/chart" Target="../charts/chart7.xml"/><Relationship Id="rId6" Type="http://schemas.openxmlformats.org/officeDocument/2006/relationships/chart" Target="../charts/chart8.xml"/><Relationship Id="rId7" Type="http://schemas.openxmlformats.org/officeDocument/2006/relationships/chart" Target="../charts/chart9.xml"/><Relationship Id="rId8" Type="http://schemas.openxmlformats.org/officeDocument/2006/relationships/chart" Target="../charts/chart10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190500</xdr:colOff>
      <xdr:row>20</xdr:row>
      <xdr:rowOff>104775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276225</xdr:colOff>
      <xdr:row>5</xdr:row>
      <xdr:rowOff>190500</xdr:rowOff>
    </xdr:from>
    <xdr:ext cx="8943975" cy="553402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171450</xdr:colOff>
      <xdr:row>0</xdr:row>
      <xdr:rowOff>142875</xdr:rowOff>
    </xdr:from>
    <xdr:ext cx="7410450" cy="344805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171450</xdr:colOff>
      <xdr:row>18</xdr:row>
      <xdr:rowOff>66675</xdr:rowOff>
    </xdr:from>
    <xdr:ext cx="7448550" cy="3448050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514350</xdr:colOff>
      <xdr:row>0</xdr:row>
      <xdr:rowOff>142875</xdr:rowOff>
    </xdr:from>
    <xdr:ext cx="5715000" cy="35337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10</xdr:col>
      <xdr:colOff>523875</xdr:colOff>
      <xdr:row>19</xdr:row>
      <xdr:rowOff>47625</xdr:rowOff>
    </xdr:from>
    <xdr:ext cx="5705475" cy="309562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18</xdr:col>
      <xdr:colOff>38100</xdr:colOff>
      <xdr:row>0</xdr:row>
      <xdr:rowOff>142875</xdr:rowOff>
    </xdr:from>
    <xdr:ext cx="5715000" cy="3533775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18</xdr:col>
      <xdr:colOff>38100</xdr:colOff>
      <xdr:row>19</xdr:row>
      <xdr:rowOff>95250</xdr:rowOff>
    </xdr:from>
    <xdr:ext cx="5715000" cy="3000375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</xdr:col>
      <xdr:colOff>1219200</xdr:colOff>
      <xdr:row>38</xdr:row>
      <xdr:rowOff>38100</xdr:rowOff>
    </xdr:from>
    <xdr:ext cx="5715000" cy="3533775"/>
    <xdr:graphicFrame>
      <xdr:nvGraphicFramePr>
        <xdr:cNvPr id="9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10</xdr:col>
      <xdr:colOff>400050</xdr:colOff>
      <xdr:row>38</xdr:row>
      <xdr:rowOff>38100</xdr:rowOff>
    </xdr:from>
    <xdr:ext cx="5715000" cy="3533775"/>
    <xdr:graphicFrame>
      <xdr:nvGraphicFramePr>
        <xdr:cNvPr id="10" name="Chart 1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17</xdr:col>
      <xdr:colOff>923925</xdr:colOff>
      <xdr:row>37</xdr:row>
      <xdr:rowOff>9525</xdr:rowOff>
    </xdr:from>
    <xdr:ext cx="5715000" cy="3533775"/>
    <xdr:graphicFrame>
      <xdr:nvGraphicFramePr>
        <xdr:cNvPr id="11" name="Chart 1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28</xdr:col>
      <xdr:colOff>904875</xdr:colOff>
      <xdr:row>60</xdr:row>
      <xdr:rowOff>0</xdr:rowOff>
    </xdr:from>
    <xdr:ext cx="5715000" cy="3533775"/>
    <xdr:graphicFrame>
      <xdr:nvGraphicFramePr>
        <xdr:cNvPr id="12" name="Chart 1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3.38"/>
    <col customWidth="1" min="5" max="5" width="20.63"/>
    <col customWidth="1" min="8" max="8" width="8.5"/>
    <col customWidth="1" min="10" max="10" width="13.13"/>
  </cols>
  <sheetData>
    <row r="3">
      <c r="B3" s="1" t="s">
        <v>0</v>
      </c>
      <c r="C3" s="1" t="s">
        <v>1</v>
      </c>
      <c r="E3" s="1" t="s">
        <v>2</v>
      </c>
    </row>
    <row r="4">
      <c r="B4" s="2" t="s">
        <v>3</v>
      </c>
      <c r="C4" s="2" t="s">
        <v>4</v>
      </c>
      <c r="E4" s="3" t="s">
        <v>4</v>
      </c>
    </row>
    <row r="5">
      <c r="B5" s="4" t="s">
        <v>5</v>
      </c>
      <c r="C5" s="4" t="s">
        <v>6</v>
      </c>
    </row>
    <row r="6">
      <c r="B6" s="4" t="s">
        <v>7</v>
      </c>
      <c r="C6" s="4" t="s">
        <v>8</v>
      </c>
    </row>
    <row r="7">
      <c r="B7" s="4" t="s">
        <v>9</v>
      </c>
      <c r="C7" s="4" t="s">
        <v>10</v>
      </c>
      <c r="E7" s="5" t="s">
        <v>11</v>
      </c>
      <c r="F7" s="6"/>
      <c r="G7" s="6"/>
      <c r="H7" s="6"/>
      <c r="I7" s="6"/>
      <c r="J7" s="7"/>
    </row>
    <row r="8">
      <c r="B8" s="4" t="s">
        <v>12</v>
      </c>
      <c r="C8" s="4" t="s">
        <v>13</v>
      </c>
      <c r="E8" s="8" t="str">
        <f>IFERROR(__xludf.DUMMYFUNCTION("GOOGLEFINANCE(E4,""ALL"",TODAY()-365,TODAY(),""WEEKLY"")"),"Date")</f>
        <v>Date</v>
      </c>
      <c r="F8" s="8" t="str">
        <f>IFERROR(__xludf.DUMMYFUNCTION("""COMPUTED_VALUE"""),"Open")</f>
        <v>Open</v>
      </c>
      <c r="G8" s="8" t="str">
        <f>IFERROR(__xludf.DUMMYFUNCTION("""COMPUTED_VALUE"""),"High")</f>
        <v>High</v>
      </c>
      <c r="H8" s="8" t="str">
        <f>IFERROR(__xludf.DUMMYFUNCTION("""COMPUTED_VALUE"""),"Low")</f>
        <v>Low</v>
      </c>
      <c r="I8" s="8" t="str">
        <f>IFERROR(__xludf.DUMMYFUNCTION("""COMPUTED_VALUE"""),"Close")</f>
        <v>Close</v>
      </c>
      <c r="J8" s="8" t="str">
        <f>IFERROR(__xludf.DUMMYFUNCTION("""COMPUTED_VALUE"""),"Volume")</f>
        <v>Volume</v>
      </c>
    </row>
    <row r="9">
      <c r="B9" s="4" t="s">
        <v>14</v>
      </c>
      <c r="C9" s="4" t="s">
        <v>15</v>
      </c>
      <c r="E9" s="9">
        <f>IFERROR(__xludf.DUMMYFUNCTION("""COMPUTED_VALUE"""),45625.54513888889)</f>
        <v>45625.54514</v>
      </c>
      <c r="F9" s="10">
        <f>IFERROR(__xludf.DUMMYFUNCTION("""COMPUTED_VALUE"""),231.46)</f>
        <v>231.46</v>
      </c>
      <c r="G9" s="10">
        <f>IFERROR(__xludf.DUMMYFUNCTION("""COMPUTED_VALUE"""),237.81)</f>
        <v>237.81</v>
      </c>
      <c r="H9" s="10">
        <f>IFERROR(__xludf.DUMMYFUNCTION("""COMPUTED_VALUE"""),229.74)</f>
        <v>229.74</v>
      </c>
      <c r="I9" s="10">
        <f>IFERROR(__xludf.DUMMYFUNCTION("""COMPUTED_VALUE"""),237.33)</f>
        <v>237.33</v>
      </c>
      <c r="J9" s="10">
        <f>IFERROR(__xludf.DUMMYFUNCTION("""COMPUTED_VALUE"""),1.98118837E8)</f>
        <v>198118837</v>
      </c>
    </row>
    <row r="10">
      <c r="B10" s="4" t="s">
        <v>16</v>
      </c>
      <c r="C10" s="4" t="s">
        <v>17</v>
      </c>
      <c r="E10" s="9">
        <f>IFERROR(__xludf.DUMMYFUNCTION("""COMPUTED_VALUE"""),45632.66666666667)</f>
        <v>45632.66667</v>
      </c>
      <c r="F10" s="10">
        <f>IFERROR(__xludf.DUMMYFUNCTION("""COMPUTED_VALUE"""),237.27)</f>
        <v>237.27</v>
      </c>
      <c r="G10" s="10">
        <f>IFERROR(__xludf.DUMMYFUNCTION("""COMPUTED_VALUE"""),244.63)</f>
        <v>244.63</v>
      </c>
      <c r="H10" s="10">
        <f>IFERROR(__xludf.DUMMYFUNCTION("""COMPUTED_VALUE"""),237.16)</f>
        <v>237.16</v>
      </c>
      <c r="I10" s="10">
        <f>IFERROR(__xludf.DUMMYFUNCTION("""COMPUTED_VALUE"""),242.84)</f>
        <v>242.84</v>
      </c>
      <c r="J10" s="10">
        <f>IFERROR(__xludf.DUMMYFUNCTION("""COMPUTED_VALUE"""),2.08286552E8)</f>
        <v>208286552</v>
      </c>
    </row>
    <row r="11">
      <c r="B11" s="4" t="s">
        <v>18</v>
      </c>
      <c r="C11" s="4" t="s">
        <v>19</v>
      </c>
      <c r="E11" s="9">
        <f>IFERROR(__xludf.DUMMYFUNCTION("""COMPUTED_VALUE"""),45639.66666666667)</f>
        <v>45639.66667</v>
      </c>
      <c r="F11" s="10">
        <f>IFERROR(__xludf.DUMMYFUNCTION("""COMPUTED_VALUE"""),241.83)</f>
        <v>241.83</v>
      </c>
      <c r="G11" s="10">
        <f>IFERROR(__xludf.DUMMYFUNCTION("""COMPUTED_VALUE"""),250.8)</f>
        <v>250.8</v>
      </c>
      <c r="H11" s="10">
        <f>IFERROR(__xludf.DUMMYFUNCTION("""COMPUTED_VALUE"""),241.75)</f>
        <v>241.75</v>
      </c>
      <c r="I11" s="10">
        <f>IFERROR(__xludf.DUMMYFUNCTION("""COMPUTED_VALUE"""),248.13)</f>
        <v>248.13</v>
      </c>
      <c r="J11" s="10">
        <f>IFERROR(__xludf.DUMMYFUNCTION("""COMPUTED_VALUE"""),1.92702674E8)</f>
        <v>192702674</v>
      </c>
    </row>
    <row r="12">
      <c r="B12" s="4" t="s">
        <v>20</v>
      </c>
      <c r="C12" s="4" t="s">
        <v>21</v>
      </c>
      <c r="E12" s="9">
        <f>IFERROR(__xludf.DUMMYFUNCTION("""COMPUTED_VALUE"""),45646.66666666667)</f>
        <v>45646.66667</v>
      </c>
      <c r="F12" s="10">
        <f>IFERROR(__xludf.DUMMYFUNCTION("""COMPUTED_VALUE"""),247.99)</f>
        <v>247.99</v>
      </c>
      <c r="G12" s="10">
        <f>IFERROR(__xludf.DUMMYFUNCTION("""COMPUTED_VALUE"""),255.0)</f>
        <v>255</v>
      </c>
      <c r="H12" s="10">
        <f>IFERROR(__xludf.DUMMYFUNCTION("""COMPUTED_VALUE"""),245.69)</f>
        <v>245.69</v>
      </c>
      <c r="I12" s="10">
        <f>IFERROR(__xludf.DUMMYFUNCTION("""COMPUTED_VALUE"""),254.49)</f>
        <v>254.49</v>
      </c>
      <c r="J12" s="10">
        <f>IFERROR(__xludf.DUMMYFUNCTION("""COMPUTED_VALUE"""),3.68202745E8)</f>
        <v>368202745</v>
      </c>
    </row>
    <row r="13">
      <c r="B13" s="11" t="s">
        <v>22</v>
      </c>
      <c r="C13" s="11" t="s">
        <v>23</v>
      </c>
      <c r="E13" s="9">
        <f>IFERROR(__xludf.DUMMYFUNCTION("""COMPUTED_VALUE"""),45653.66666666667)</f>
        <v>45653.66667</v>
      </c>
      <c r="F13" s="10">
        <f>IFERROR(__xludf.DUMMYFUNCTION("""COMPUTED_VALUE"""),254.77)</f>
        <v>254.77</v>
      </c>
      <c r="G13" s="10">
        <f>IFERROR(__xludf.DUMMYFUNCTION("""COMPUTED_VALUE"""),260.1)</f>
        <v>260.1</v>
      </c>
      <c r="H13" s="10">
        <f>IFERROR(__xludf.DUMMYFUNCTION("""COMPUTED_VALUE"""),253.06)</f>
        <v>253.06</v>
      </c>
      <c r="I13" s="10">
        <f>IFERROR(__xludf.DUMMYFUNCTION("""COMPUTED_VALUE"""),255.59)</f>
        <v>255.59</v>
      </c>
      <c r="J13" s="10">
        <f>IFERROR(__xludf.DUMMYFUNCTION("""COMPUTED_VALUE"""),1.33711783E8)</f>
        <v>133711783</v>
      </c>
    </row>
    <row r="14">
      <c r="E14" s="9">
        <f>IFERROR(__xludf.DUMMYFUNCTION("""COMPUTED_VALUE"""),45660.66666666667)</f>
        <v>45660.66667</v>
      </c>
      <c r="F14" s="10">
        <f>IFERROR(__xludf.DUMMYFUNCTION("""COMPUTED_VALUE"""),252.23)</f>
        <v>252.23</v>
      </c>
      <c r="G14" s="10">
        <f>IFERROR(__xludf.DUMMYFUNCTION("""COMPUTED_VALUE"""),253.5)</f>
        <v>253.5</v>
      </c>
      <c r="H14" s="10">
        <f>IFERROR(__xludf.DUMMYFUNCTION("""COMPUTED_VALUE"""),241.82)</f>
        <v>241.82</v>
      </c>
      <c r="I14" s="10">
        <f>IFERROR(__xludf.DUMMYFUNCTION("""COMPUTED_VALUE"""),243.36)</f>
        <v>243.36</v>
      </c>
      <c r="J14" s="10">
        <f>IFERROR(__xludf.DUMMYFUNCTION("""COMPUTED_VALUE"""),1.71023105E8)</f>
        <v>171023105</v>
      </c>
    </row>
    <row r="15">
      <c r="B15" s="12" t="s">
        <v>24</v>
      </c>
      <c r="C15" s="13"/>
      <c r="E15" s="9">
        <f>IFERROR(__xludf.DUMMYFUNCTION("""COMPUTED_VALUE"""),45667.66666666667)</f>
        <v>45667.66667</v>
      </c>
      <c r="F15" s="10">
        <f>IFERROR(__xludf.DUMMYFUNCTION("""COMPUTED_VALUE"""),244.31)</f>
        <v>244.31</v>
      </c>
      <c r="G15" s="10">
        <f>IFERROR(__xludf.DUMMYFUNCTION("""COMPUTED_VALUE"""),247.33)</f>
        <v>247.33</v>
      </c>
      <c r="H15" s="10">
        <f>IFERROR(__xludf.DUMMYFUNCTION("""COMPUTED_VALUE"""),233.0)</f>
        <v>233</v>
      </c>
      <c r="I15" s="10">
        <f>IFERROR(__xludf.DUMMYFUNCTION("""COMPUTED_VALUE"""),236.85)</f>
        <v>236.85</v>
      </c>
      <c r="J15" s="10">
        <f>IFERROR(__xludf.DUMMYFUNCTION("""COMPUTED_VALUE"""),1.85241327E8)</f>
        <v>185241327</v>
      </c>
    </row>
    <row r="16">
      <c r="B16" s="14" t="s">
        <v>25</v>
      </c>
      <c r="C16" s="15" t="s">
        <v>26</v>
      </c>
      <c r="E16" s="9">
        <f>IFERROR(__xludf.DUMMYFUNCTION("""COMPUTED_VALUE"""),45674.66666666667)</f>
        <v>45674.66667</v>
      </c>
      <c r="F16" s="10">
        <f>IFERROR(__xludf.DUMMYFUNCTION("""COMPUTED_VALUE"""),233.53)</f>
        <v>233.53</v>
      </c>
      <c r="G16" s="10">
        <f>IFERROR(__xludf.DUMMYFUNCTION("""COMPUTED_VALUE"""),238.96)</f>
        <v>238.96</v>
      </c>
      <c r="H16" s="10">
        <f>IFERROR(__xludf.DUMMYFUNCTION("""COMPUTED_VALUE"""),228.03)</f>
        <v>228.03</v>
      </c>
      <c r="I16" s="10">
        <f>IFERROR(__xludf.DUMMYFUNCTION("""COMPUTED_VALUE"""),229.98)</f>
        <v>229.98</v>
      </c>
      <c r="J16" s="10">
        <f>IFERROR(__xludf.DUMMYFUNCTION("""COMPUTED_VALUE"""),2.69145341E8)</f>
        <v>269145341</v>
      </c>
    </row>
    <row r="17">
      <c r="B17" s="16" t="s">
        <v>27</v>
      </c>
      <c r="C17" s="17" t="s">
        <v>28</v>
      </c>
      <c r="E17" s="9">
        <f>IFERROR(__xludf.DUMMYFUNCTION("""COMPUTED_VALUE"""),45681.66666666667)</f>
        <v>45681.66667</v>
      </c>
      <c r="F17" s="10">
        <f>IFERROR(__xludf.DUMMYFUNCTION("""COMPUTED_VALUE"""),224.0)</f>
        <v>224</v>
      </c>
      <c r="G17" s="10">
        <f>IFERROR(__xludf.DUMMYFUNCTION("""COMPUTED_VALUE"""),227.03)</f>
        <v>227.03</v>
      </c>
      <c r="H17" s="10">
        <f>IFERROR(__xludf.DUMMYFUNCTION("""COMPUTED_VALUE"""),219.38)</f>
        <v>219.38</v>
      </c>
      <c r="I17" s="10">
        <f>IFERROR(__xludf.DUMMYFUNCTION("""COMPUTED_VALUE"""),222.78)</f>
        <v>222.78</v>
      </c>
      <c r="J17" s="10">
        <f>IFERROR(__xludf.DUMMYFUNCTION("""COMPUTED_VALUE"""),2.77129596E8)</f>
        <v>277129596</v>
      </c>
    </row>
    <row r="18">
      <c r="B18" s="16" t="s">
        <v>29</v>
      </c>
      <c r="C18" s="17" t="s">
        <v>30</v>
      </c>
      <c r="E18" s="9">
        <f>IFERROR(__xludf.DUMMYFUNCTION("""COMPUTED_VALUE"""),45688.66666666667)</f>
        <v>45688.66667</v>
      </c>
      <c r="F18" s="10">
        <f>IFERROR(__xludf.DUMMYFUNCTION("""COMPUTED_VALUE"""),224.02)</f>
        <v>224.02</v>
      </c>
      <c r="G18" s="10">
        <f>IFERROR(__xludf.DUMMYFUNCTION("""COMPUTED_VALUE"""),247.19)</f>
        <v>247.19</v>
      </c>
      <c r="H18" s="10">
        <f>IFERROR(__xludf.DUMMYFUNCTION("""COMPUTED_VALUE"""),223.98)</f>
        <v>223.98</v>
      </c>
      <c r="I18" s="10">
        <f>IFERROR(__xludf.DUMMYFUNCTION("""COMPUTED_VALUE"""),236.0)</f>
        <v>236</v>
      </c>
      <c r="J18" s="10">
        <f>IFERROR(__xludf.DUMMYFUNCTION("""COMPUTED_VALUE"""),3.72790494E8)</f>
        <v>372790494</v>
      </c>
    </row>
    <row r="19">
      <c r="B19" s="16" t="s">
        <v>31</v>
      </c>
      <c r="C19" s="17" t="s">
        <v>32</v>
      </c>
      <c r="E19" s="9">
        <f>IFERROR(__xludf.DUMMYFUNCTION("""COMPUTED_VALUE"""),45695.66666666667)</f>
        <v>45695.66667</v>
      </c>
      <c r="F19" s="10">
        <f>IFERROR(__xludf.DUMMYFUNCTION("""COMPUTED_VALUE"""),229.99)</f>
        <v>229.99</v>
      </c>
      <c r="G19" s="10">
        <f>IFERROR(__xludf.DUMMYFUNCTION("""COMPUTED_VALUE"""),234.0)</f>
        <v>234</v>
      </c>
      <c r="H19" s="10">
        <f>IFERROR(__xludf.DUMMYFUNCTION("""COMPUTED_VALUE"""),225.7)</f>
        <v>225.7</v>
      </c>
      <c r="I19" s="10">
        <f>IFERROR(__xludf.DUMMYFUNCTION("""COMPUTED_VALUE"""),227.63)</f>
        <v>227.63</v>
      </c>
      <c r="J19" s="10">
        <f>IFERROR(__xludf.DUMMYFUNCTION("""COMPUTED_VALUE"""),2.27428164E8)</f>
        <v>227428164</v>
      </c>
    </row>
    <row r="20">
      <c r="B20" s="18" t="s">
        <v>33</v>
      </c>
      <c r="C20" s="19" t="s">
        <v>34</v>
      </c>
      <c r="E20" s="9">
        <f>IFERROR(__xludf.DUMMYFUNCTION("""COMPUTED_VALUE"""),45702.66666666667)</f>
        <v>45702.66667</v>
      </c>
      <c r="F20" s="10">
        <f>IFERROR(__xludf.DUMMYFUNCTION("""COMPUTED_VALUE"""),229.57)</f>
        <v>229.57</v>
      </c>
      <c r="G20" s="10">
        <f>IFERROR(__xludf.DUMMYFUNCTION("""COMPUTED_VALUE"""),245.55)</f>
        <v>245.55</v>
      </c>
      <c r="H20" s="10">
        <f>IFERROR(__xludf.DUMMYFUNCTION("""COMPUTED_VALUE"""),227.2)</f>
        <v>227.2</v>
      </c>
      <c r="I20" s="10">
        <f>IFERROR(__xludf.DUMMYFUNCTION("""COMPUTED_VALUE"""),244.6)</f>
        <v>244.6</v>
      </c>
      <c r="J20" s="10">
        <f>IFERROR(__xludf.DUMMYFUNCTION("""COMPUTED_VALUE"""),2.2658758E8)</f>
        <v>226587580</v>
      </c>
    </row>
    <row r="21">
      <c r="E21" s="9">
        <f>IFERROR(__xludf.DUMMYFUNCTION("""COMPUTED_VALUE"""),45709.66666666667)</f>
        <v>45709.66667</v>
      </c>
      <c r="F21" s="10">
        <f>IFERROR(__xludf.DUMMYFUNCTION("""COMPUTED_VALUE"""),244.15)</f>
        <v>244.15</v>
      </c>
      <c r="G21" s="10">
        <f>IFERROR(__xludf.DUMMYFUNCTION("""COMPUTED_VALUE"""),248.69)</f>
        <v>248.69</v>
      </c>
      <c r="H21" s="10">
        <f>IFERROR(__xludf.DUMMYFUNCTION("""COMPUTED_VALUE"""),241.84)</f>
        <v>241.84</v>
      </c>
      <c r="I21" s="10">
        <f>IFERROR(__xludf.DUMMYFUNCTION("""COMPUTED_VALUE"""),245.55)</f>
        <v>245.55</v>
      </c>
      <c r="J21" s="10">
        <f>IFERROR(__xludf.DUMMYFUNCTION("""COMPUTED_VALUE"""),1.66541044E8)</f>
        <v>166541044</v>
      </c>
    </row>
    <row r="22">
      <c r="E22" s="9">
        <f>IFERROR(__xludf.DUMMYFUNCTION("""COMPUTED_VALUE"""),45716.66666666667)</f>
        <v>45716.66667</v>
      </c>
      <c r="F22" s="10">
        <f>IFERROR(__xludf.DUMMYFUNCTION("""COMPUTED_VALUE"""),244.93)</f>
        <v>244.93</v>
      </c>
      <c r="G22" s="10">
        <f>IFERROR(__xludf.DUMMYFUNCTION("""COMPUTED_VALUE"""),250.0)</f>
        <v>250</v>
      </c>
      <c r="H22" s="10">
        <f>IFERROR(__xludf.DUMMYFUNCTION("""COMPUTED_VALUE"""),230.2)</f>
        <v>230.2</v>
      </c>
      <c r="I22" s="10">
        <f>IFERROR(__xludf.DUMMYFUNCTION("""COMPUTED_VALUE"""),241.84)</f>
        <v>241.84</v>
      </c>
      <c r="J22" s="10">
        <f>IFERROR(__xludf.DUMMYFUNCTION("""COMPUTED_VALUE"""),2.41760231E8)</f>
        <v>241760231</v>
      </c>
    </row>
    <row r="23">
      <c r="E23" s="9">
        <f>IFERROR(__xludf.DUMMYFUNCTION("""COMPUTED_VALUE"""),45723.66666666667)</f>
        <v>45723.66667</v>
      </c>
      <c r="F23" s="10">
        <f>IFERROR(__xludf.DUMMYFUNCTION("""COMPUTED_VALUE"""),241.79)</f>
        <v>241.79</v>
      </c>
      <c r="G23" s="10">
        <f>IFERROR(__xludf.DUMMYFUNCTION("""COMPUTED_VALUE"""),244.03)</f>
        <v>244.03</v>
      </c>
      <c r="H23" s="10">
        <f>IFERROR(__xludf.DUMMYFUNCTION("""COMPUTED_VALUE"""),229.23)</f>
        <v>229.23</v>
      </c>
      <c r="I23" s="10">
        <f>IFERROR(__xludf.DUMMYFUNCTION("""COMPUTED_VALUE"""),239.07)</f>
        <v>239.07</v>
      </c>
      <c r="J23" s="10">
        <f>IFERROR(__xludf.DUMMYFUNCTION("""COMPUTED_VALUE"""),2.39653674E8)</f>
        <v>239653674</v>
      </c>
    </row>
    <row r="24">
      <c r="E24" s="9">
        <f>IFERROR(__xludf.DUMMYFUNCTION("""COMPUTED_VALUE"""),45730.66666666667)</f>
        <v>45730.66667</v>
      </c>
      <c r="F24" s="10">
        <f>IFERROR(__xludf.DUMMYFUNCTION("""COMPUTED_VALUE"""),235.54)</f>
        <v>235.54</v>
      </c>
      <c r="G24" s="10">
        <f>IFERROR(__xludf.DUMMYFUNCTION("""COMPUTED_VALUE"""),236.16)</f>
        <v>236.16</v>
      </c>
      <c r="H24" s="10">
        <f>IFERROR(__xludf.DUMMYFUNCTION("""COMPUTED_VALUE"""),208.42)</f>
        <v>208.42</v>
      </c>
      <c r="I24" s="10">
        <f>IFERROR(__xludf.DUMMYFUNCTION("""COMPUTED_VALUE"""),213.49)</f>
        <v>213.49</v>
      </c>
      <c r="J24" s="10">
        <f>IFERROR(__xludf.DUMMYFUNCTION("""COMPUTED_VALUE"""),3.32231986E8)</f>
        <v>332231986</v>
      </c>
    </row>
    <row r="25">
      <c r="E25" s="9">
        <f>IFERROR(__xludf.DUMMYFUNCTION("""COMPUTED_VALUE"""),45737.66666666667)</f>
        <v>45737.66667</v>
      </c>
      <c r="F25" s="10">
        <f>IFERROR(__xludf.DUMMYFUNCTION("""COMPUTED_VALUE"""),213.31)</f>
        <v>213.31</v>
      </c>
      <c r="G25" s="10">
        <f>IFERROR(__xludf.DUMMYFUNCTION("""COMPUTED_VALUE"""),218.84)</f>
        <v>218.84</v>
      </c>
      <c r="H25" s="10">
        <f>IFERROR(__xludf.DUMMYFUNCTION("""COMPUTED_VALUE"""),209.97)</f>
        <v>209.97</v>
      </c>
      <c r="I25" s="10">
        <f>IFERROR(__xludf.DUMMYFUNCTION("""COMPUTED_VALUE"""),218.27)</f>
        <v>218.27</v>
      </c>
      <c r="J25" s="10">
        <f>IFERROR(__xludf.DUMMYFUNCTION("""COMPUTED_VALUE"""),2.87881958E8)</f>
        <v>287881958</v>
      </c>
    </row>
    <row r="26">
      <c r="E26" s="9">
        <f>IFERROR(__xludf.DUMMYFUNCTION("""COMPUTED_VALUE"""),45744.66666666667)</f>
        <v>45744.66667</v>
      </c>
      <c r="F26" s="10">
        <f>IFERROR(__xludf.DUMMYFUNCTION("""COMPUTED_VALUE"""),221.0)</f>
        <v>221</v>
      </c>
      <c r="G26" s="10">
        <f>IFERROR(__xludf.DUMMYFUNCTION("""COMPUTED_VALUE"""),225.02)</f>
        <v>225.02</v>
      </c>
      <c r="H26" s="10">
        <f>IFERROR(__xludf.DUMMYFUNCTION("""COMPUTED_VALUE"""),217.68)</f>
        <v>217.68</v>
      </c>
      <c r="I26" s="10">
        <f>IFERROR(__xludf.DUMMYFUNCTION("""COMPUTED_VALUE"""),217.9)</f>
        <v>217.9</v>
      </c>
      <c r="J26" s="10">
        <f>IFERROR(__xludf.DUMMYFUNCTION("""COMPUTED_VALUE"""),1.90239113E8)</f>
        <v>190239113</v>
      </c>
    </row>
    <row r="27">
      <c r="E27" s="9">
        <f>IFERROR(__xludf.DUMMYFUNCTION("""COMPUTED_VALUE"""),45751.66666666667)</f>
        <v>45751.66667</v>
      </c>
      <c r="F27" s="10">
        <f>IFERROR(__xludf.DUMMYFUNCTION("""COMPUTED_VALUE"""),217.01)</f>
        <v>217.01</v>
      </c>
      <c r="G27" s="10">
        <f>IFERROR(__xludf.DUMMYFUNCTION("""COMPUTED_VALUE"""),225.62)</f>
        <v>225.62</v>
      </c>
      <c r="H27" s="10">
        <f>IFERROR(__xludf.DUMMYFUNCTION("""COMPUTED_VALUE"""),187.34)</f>
        <v>187.34</v>
      </c>
      <c r="I27" s="10">
        <f>IFERROR(__xludf.DUMMYFUNCTION("""COMPUTED_VALUE"""),188.38)</f>
        <v>188.38</v>
      </c>
      <c r="J27" s="10">
        <f>IFERROR(__xludf.DUMMYFUNCTION("""COMPUTED_VALUE"""),3.66947884E8)</f>
        <v>366947884</v>
      </c>
    </row>
    <row r="28">
      <c r="E28" s="9">
        <f>IFERROR(__xludf.DUMMYFUNCTION("""COMPUTED_VALUE"""),45758.66666666667)</f>
        <v>45758.66667</v>
      </c>
      <c r="F28" s="10">
        <f>IFERROR(__xludf.DUMMYFUNCTION("""COMPUTED_VALUE"""),177.2)</f>
        <v>177.2</v>
      </c>
      <c r="G28" s="10">
        <f>IFERROR(__xludf.DUMMYFUNCTION("""COMPUTED_VALUE"""),200.61)</f>
        <v>200.61</v>
      </c>
      <c r="H28" s="10">
        <f>IFERROR(__xludf.DUMMYFUNCTION("""COMPUTED_VALUE"""),169.21)</f>
        <v>169.21</v>
      </c>
      <c r="I28" s="10">
        <f>IFERROR(__xludf.DUMMYFUNCTION("""COMPUTED_VALUE"""),198.15)</f>
        <v>198.15</v>
      </c>
      <c r="J28" s="10">
        <f>IFERROR(__xludf.DUMMYFUNCTION("""COMPUTED_VALUE"""),6.75037558E8)</f>
        <v>675037558</v>
      </c>
    </row>
    <row r="29">
      <c r="E29" s="9">
        <f>IFERROR(__xludf.DUMMYFUNCTION("""COMPUTED_VALUE"""),45764.66666666667)</f>
        <v>45764.66667</v>
      </c>
      <c r="F29" s="10">
        <f>IFERROR(__xludf.DUMMYFUNCTION("""COMPUTED_VALUE"""),211.44)</f>
        <v>211.44</v>
      </c>
      <c r="G29" s="10">
        <f>IFERROR(__xludf.DUMMYFUNCTION("""COMPUTED_VALUE"""),212.94)</f>
        <v>212.94</v>
      </c>
      <c r="H29" s="10">
        <f>IFERROR(__xludf.DUMMYFUNCTION("""COMPUTED_VALUE"""),192.37)</f>
        <v>192.37</v>
      </c>
      <c r="I29" s="10">
        <f>IFERROR(__xludf.DUMMYFUNCTION("""COMPUTED_VALUE"""),196.98)</f>
        <v>196.98</v>
      </c>
      <c r="J29" s="10">
        <f>IFERROR(__xludf.DUMMYFUNCTION("""COMPUTED_VALUE"""),2.64593881E8)</f>
        <v>264593881</v>
      </c>
    </row>
    <row r="30">
      <c r="E30" s="9">
        <f>IFERROR(__xludf.DUMMYFUNCTION("""COMPUTED_VALUE"""),45772.66666666667)</f>
        <v>45772.66667</v>
      </c>
      <c r="F30" s="10">
        <f>IFERROR(__xludf.DUMMYFUNCTION("""COMPUTED_VALUE"""),193.27)</f>
        <v>193.27</v>
      </c>
      <c r="G30" s="10">
        <f>IFERROR(__xludf.DUMMYFUNCTION("""COMPUTED_VALUE"""),209.75)</f>
        <v>209.75</v>
      </c>
      <c r="H30" s="10">
        <f>IFERROR(__xludf.DUMMYFUNCTION("""COMPUTED_VALUE"""),189.81)</f>
        <v>189.81</v>
      </c>
      <c r="I30" s="10">
        <f>IFERROR(__xludf.DUMMYFUNCTION("""COMPUTED_VALUE"""),209.28)</f>
        <v>209.28</v>
      </c>
      <c r="J30" s="10">
        <f>IFERROR(__xludf.DUMMYFUNCTION("""COMPUTED_VALUE"""),2.3818132E8)</f>
        <v>238181320</v>
      </c>
    </row>
    <row r="31">
      <c r="E31" s="9">
        <f>IFERROR(__xludf.DUMMYFUNCTION("""COMPUTED_VALUE"""),45779.66666666667)</f>
        <v>45779.66667</v>
      </c>
      <c r="F31" s="10">
        <f>IFERROR(__xludf.DUMMYFUNCTION("""COMPUTED_VALUE"""),210.0)</f>
        <v>210</v>
      </c>
      <c r="G31" s="10">
        <f>IFERROR(__xludf.DUMMYFUNCTION("""COMPUTED_VALUE"""),214.56)</f>
        <v>214.56</v>
      </c>
      <c r="H31" s="10">
        <f>IFERROR(__xludf.DUMMYFUNCTION("""COMPUTED_VALUE"""),202.16)</f>
        <v>202.16</v>
      </c>
      <c r="I31" s="10">
        <f>IFERROR(__xludf.DUMMYFUNCTION("""COMPUTED_VALUE"""),205.35)</f>
        <v>205.35</v>
      </c>
      <c r="J31" s="10">
        <f>IFERROR(__xludf.DUMMYFUNCTION("""COMPUTED_VALUE"""),2.86233457E8)</f>
        <v>286233457</v>
      </c>
    </row>
    <row r="32">
      <c r="E32" s="9">
        <f>IFERROR(__xludf.DUMMYFUNCTION("""COMPUTED_VALUE"""),45786.66666666667)</f>
        <v>45786.66667</v>
      </c>
      <c r="F32" s="10">
        <f>IFERROR(__xludf.DUMMYFUNCTION("""COMPUTED_VALUE"""),203.1)</f>
        <v>203.1</v>
      </c>
      <c r="G32" s="10">
        <f>IFERROR(__xludf.DUMMYFUNCTION("""COMPUTED_VALUE"""),204.1)</f>
        <v>204.1</v>
      </c>
      <c r="H32" s="10">
        <f>IFERROR(__xludf.DUMMYFUNCTION("""COMPUTED_VALUE"""),193.25)</f>
        <v>193.25</v>
      </c>
      <c r="I32" s="10">
        <f>IFERROR(__xludf.DUMMYFUNCTION("""COMPUTED_VALUE"""),198.53)</f>
        <v>198.53</v>
      </c>
      <c r="J32" s="10">
        <f>IFERROR(__xludf.DUMMYFUNCTION("""COMPUTED_VALUE"""),2.75784672E8)</f>
        <v>275784672</v>
      </c>
    </row>
    <row r="33">
      <c r="E33" s="9">
        <f>IFERROR(__xludf.DUMMYFUNCTION("""COMPUTED_VALUE"""),45793.66666666667)</f>
        <v>45793.66667</v>
      </c>
      <c r="F33" s="10">
        <f>IFERROR(__xludf.DUMMYFUNCTION("""COMPUTED_VALUE"""),210.97)</f>
        <v>210.97</v>
      </c>
      <c r="G33" s="10">
        <f>IFERROR(__xludf.DUMMYFUNCTION("""COMPUTED_VALUE"""),213.94)</f>
        <v>213.94</v>
      </c>
      <c r="H33" s="10">
        <f>IFERROR(__xludf.DUMMYFUNCTION("""COMPUTED_VALUE"""),206.75)</f>
        <v>206.75</v>
      </c>
      <c r="I33" s="10">
        <f>IFERROR(__xludf.DUMMYFUNCTION("""COMPUTED_VALUE"""),211.26)</f>
        <v>211.26</v>
      </c>
      <c r="J33" s="10">
        <f>IFERROR(__xludf.DUMMYFUNCTION("""COMPUTED_VALUE"""),2.64778294E8)</f>
        <v>264778294</v>
      </c>
    </row>
    <row r="34">
      <c r="E34" s="9">
        <f>IFERROR(__xludf.DUMMYFUNCTION("""COMPUTED_VALUE"""),45800.66666666667)</f>
        <v>45800.66667</v>
      </c>
      <c r="F34" s="10">
        <f>IFERROR(__xludf.DUMMYFUNCTION("""COMPUTED_VALUE"""),207.91)</f>
        <v>207.91</v>
      </c>
      <c r="G34" s="10">
        <f>IFERROR(__xludf.DUMMYFUNCTION("""COMPUTED_VALUE"""),209.48)</f>
        <v>209.48</v>
      </c>
      <c r="H34" s="10">
        <f>IFERROR(__xludf.DUMMYFUNCTION("""COMPUTED_VALUE"""),193.46)</f>
        <v>193.46</v>
      </c>
      <c r="I34" s="10">
        <f>IFERROR(__xludf.DUMMYFUNCTION("""COMPUTED_VALUE"""),195.27)</f>
        <v>195.27</v>
      </c>
      <c r="J34" s="10">
        <f>IFERROR(__xludf.DUMMYFUNCTION("""COMPUTED_VALUE"""),2.27818288E8)</f>
        <v>227818288</v>
      </c>
    </row>
    <row r="35">
      <c r="E35" s="9">
        <f>IFERROR(__xludf.DUMMYFUNCTION("""COMPUTED_VALUE"""),45807.66666666667)</f>
        <v>45807.66667</v>
      </c>
      <c r="F35" s="10">
        <f>IFERROR(__xludf.DUMMYFUNCTION("""COMPUTED_VALUE"""),198.3)</f>
        <v>198.3</v>
      </c>
      <c r="G35" s="10">
        <f>IFERROR(__xludf.DUMMYFUNCTION("""COMPUTED_VALUE"""),203.81)</f>
        <v>203.81</v>
      </c>
      <c r="H35" s="10">
        <f>IFERROR(__xludf.DUMMYFUNCTION("""COMPUTED_VALUE"""),196.78)</f>
        <v>196.78</v>
      </c>
      <c r="I35" s="10">
        <f>IFERROR(__xludf.DUMMYFUNCTION("""COMPUTED_VALUE"""),200.85)</f>
        <v>200.85</v>
      </c>
      <c r="J35" s="10">
        <f>IFERROR(__xludf.DUMMYFUNCTION("""COMPUTED_VALUE"""),2.23926033E8)</f>
        <v>223926033</v>
      </c>
    </row>
    <row r="36">
      <c r="E36" s="9">
        <f>IFERROR(__xludf.DUMMYFUNCTION("""COMPUTED_VALUE"""),45814.66666666667)</f>
        <v>45814.66667</v>
      </c>
      <c r="F36" s="10">
        <f>IFERROR(__xludf.DUMMYFUNCTION("""COMPUTED_VALUE"""),200.28)</f>
        <v>200.28</v>
      </c>
      <c r="G36" s="10">
        <f>IFERROR(__xludf.DUMMYFUNCTION("""COMPUTED_VALUE"""),206.24)</f>
        <v>206.24</v>
      </c>
      <c r="H36" s="10">
        <f>IFERROR(__xludf.DUMMYFUNCTION("""COMPUTED_VALUE"""),200.12)</f>
        <v>200.12</v>
      </c>
      <c r="I36" s="10">
        <f>IFERROR(__xludf.DUMMYFUNCTION("""COMPUTED_VALUE"""),203.92)</f>
        <v>203.92</v>
      </c>
      <c r="J36" s="10">
        <f>IFERROR(__xludf.DUMMYFUNCTION("""COMPUTED_VALUE"""),2.27237774E8)</f>
        <v>227237774</v>
      </c>
    </row>
    <row r="37">
      <c r="E37" s="9">
        <f>IFERROR(__xludf.DUMMYFUNCTION("""COMPUTED_VALUE"""),45821.66666666667)</f>
        <v>45821.66667</v>
      </c>
      <c r="F37" s="10">
        <f>IFERROR(__xludf.DUMMYFUNCTION("""COMPUTED_VALUE"""),204.39)</f>
        <v>204.39</v>
      </c>
      <c r="G37" s="10">
        <f>IFERROR(__xludf.DUMMYFUNCTION("""COMPUTED_VALUE"""),206.0)</f>
        <v>206</v>
      </c>
      <c r="H37" s="10">
        <f>IFERROR(__xludf.DUMMYFUNCTION("""COMPUTED_VALUE"""),195.7)</f>
        <v>195.7</v>
      </c>
      <c r="I37" s="10">
        <f>IFERROR(__xludf.DUMMYFUNCTION("""COMPUTED_VALUE"""),196.45)</f>
        <v>196.45</v>
      </c>
      <c r="J37" s="10">
        <f>IFERROR(__xludf.DUMMYFUNCTION("""COMPUTED_VALUE"""),2.83877006E8)</f>
        <v>283877006</v>
      </c>
    </row>
    <row r="38">
      <c r="E38" s="9">
        <f>IFERROR(__xludf.DUMMYFUNCTION("""COMPUTED_VALUE"""),45828.66666666667)</f>
        <v>45828.66667</v>
      </c>
      <c r="F38" s="10">
        <f>IFERROR(__xludf.DUMMYFUNCTION("""COMPUTED_VALUE"""),197.3)</f>
        <v>197.3</v>
      </c>
      <c r="G38" s="10">
        <f>IFERROR(__xludf.DUMMYFUNCTION("""COMPUTED_VALUE"""),201.7)</f>
        <v>201.7</v>
      </c>
      <c r="H38" s="10">
        <f>IFERROR(__xludf.DUMMYFUNCTION("""COMPUTED_VALUE"""),195.07)</f>
        <v>195.07</v>
      </c>
      <c r="I38" s="10">
        <f>IFERROR(__xludf.DUMMYFUNCTION("""COMPUTED_VALUE"""),201.0)</f>
        <v>201</v>
      </c>
      <c r="J38" s="10">
        <f>IFERROR(__xludf.DUMMYFUNCTION("""COMPUTED_VALUE"""),2.24085074E8)</f>
        <v>224085074</v>
      </c>
    </row>
    <row r="39">
      <c r="E39" s="9">
        <f>IFERROR(__xludf.DUMMYFUNCTION("""COMPUTED_VALUE"""),45835.66666666667)</f>
        <v>45835.66667</v>
      </c>
      <c r="F39" s="10">
        <f>IFERROR(__xludf.DUMMYFUNCTION("""COMPUTED_VALUE"""),201.63)</f>
        <v>201.63</v>
      </c>
      <c r="G39" s="10">
        <f>IFERROR(__xludf.DUMMYFUNCTION("""COMPUTED_VALUE"""),203.67)</f>
        <v>203.67</v>
      </c>
      <c r="H39" s="10">
        <f>IFERROR(__xludf.DUMMYFUNCTION("""COMPUTED_VALUE"""),198.96)</f>
        <v>198.96</v>
      </c>
      <c r="I39" s="10">
        <f>IFERROR(__xludf.DUMMYFUNCTION("""COMPUTED_VALUE"""),201.08)</f>
        <v>201.08</v>
      </c>
      <c r="J39" s="10">
        <f>IFERROR(__xludf.DUMMYFUNCTION("""COMPUTED_VALUE"""),2.73391727E8)</f>
        <v>273391727</v>
      </c>
    </row>
    <row r="40">
      <c r="E40" s="9">
        <f>IFERROR(__xludf.DUMMYFUNCTION("""COMPUTED_VALUE"""),45841.54513888889)</f>
        <v>45841.54514</v>
      </c>
      <c r="F40" s="10">
        <f>IFERROR(__xludf.DUMMYFUNCTION("""COMPUTED_VALUE"""),202.01)</f>
        <v>202.01</v>
      </c>
      <c r="G40" s="10">
        <f>IFERROR(__xludf.DUMMYFUNCTION("""COMPUTED_VALUE"""),214.65)</f>
        <v>214.65</v>
      </c>
      <c r="H40" s="10">
        <f>IFERROR(__xludf.DUMMYFUNCTION("""COMPUTED_VALUE"""),199.26)</f>
        <v>199.26</v>
      </c>
      <c r="I40" s="10">
        <f>IFERROR(__xludf.DUMMYFUNCTION("""COMPUTED_VALUE"""),213.55)</f>
        <v>213.55</v>
      </c>
      <c r="J40" s="10">
        <f>IFERROR(__xludf.DUMMYFUNCTION("""COMPUTED_VALUE"""),2.7359933E8)</f>
        <v>273599330</v>
      </c>
    </row>
    <row r="41">
      <c r="E41" s="9">
        <f>IFERROR(__xludf.DUMMYFUNCTION("""COMPUTED_VALUE"""),45849.66666666667)</f>
        <v>45849.66667</v>
      </c>
      <c r="F41" s="10">
        <f>IFERROR(__xludf.DUMMYFUNCTION("""COMPUTED_VALUE"""),212.68)</f>
        <v>212.68</v>
      </c>
      <c r="G41" s="10">
        <f>IFERROR(__xludf.DUMMYFUNCTION("""COMPUTED_VALUE"""),216.23)</f>
        <v>216.23</v>
      </c>
      <c r="H41" s="10">
        <f>IFERROR(__xludf.DUMMYFUNCTION("""COMPUTED_VALUE"""),207.22)</f>
        <v>207.22</v>
      </c>
      <c r="I41" s="10">
        <f>IFERROR(__xludf.DUMMYFUNCTION("""COMPUTED_VALUE"""),211.16)</f>
        <v>211.16</v>
      </c>
      <c r="J41" s="10">
        <f>IFERROR(__xludf.DUMMYFUNCTION("""COMPUTED_VALUE"""),2.26036726E8)</f>
        <v>226036726</v>
      </c>
    </row>
    <row r="42">
      <c r="E42" s="9">
        <f>IFERROR(__xludf.DUMMYFUNCTION("""COMPUTED_VALUE"""),45856.66666666667)</f>
        <v>45856.66667</v>
      </c>
      <c r="F42" s="10">
        <f>IFERROR(__xludf.DUMMYFUNCTION("""COMPUTED_VALUE"""),209.93)</f>
        <v>209.93</v>
      </c>
      <c r="G42" s="10">
        <f>IFERROR(__xludf.DUMMYFUNCTION("""COMPUTED_VALUE"""),212.4)</f>
        <v>212.4</v>
      </c>
      <c r="H42" s="10">
        <f>IFERROR(__xludf.DUMMYFUNCTION("""COMPUTED_VALUE"""),207.54)</f>
        <v>207.54</v>
      </c>
      <c r="I42" s="10">
        <f>IFERROR(__xludf.DUMMYFUNCTION("""COMPUTED_VALUE"""),211.18)</f>
        <v>211.18</v>
      </c>
      <c r="J42" s="10">
        <f>IFERROR(__xludf.DUMMYFUNCTION("""COMPUTED_VALUE"""),2.25669714E8)</f>
        <v>225669714</v>
      </c>
    </row>
    <row r="43">
      <c r="E43" s="9">
        <f>IFERROR(__xludf.DUMMYFUNCTION("""COMPUTED_VALUE"""),45863.66666666667)</f>
        <v>45863.66667</v>
      </c>
      <c r="F43" s="10">
        <f>IFERROR(__xludf.DUMMYFUNCTION("""COMPUTED_VALUE"""),212.1)</f>
        <v>212.1</v>
      </c>
      <c r="G43" s="10">
        <f>IFERROR(__xludf.DUMMYFUNCTION("""COMPUTED_VALUE"""),215.78)</f>
        <v>215.78</v>
      </c>
      <c r="H43" s="10">
        <f>IFERROR(__xludf.DUMMYFUNCTION("""COMPUTED_VALUE"""),211.63)</f>
        <v>211.63</v>
      </c>
      <c r="I43" s="10">
        <f>IFERROR(__xludf.DUMMYFUNCTION("""COMPUTED_VALUE"""),213.88)</f>
        <v>213.88</v>
      </c>
      <c r="J43" s="10">
        <f>IFERROR(__xludf.DUMMYFUNCTION("""COMPUTED_VALUE"""),2.31062208E8)</f>
        <v>231062208</v>
      </c>
    </row>
    <row r="44">
      <c r="E44" s="9">
        <f>IFERROR(__xludf.DUMMYFUNCTION("""COMPUTED_VALUE"""),45870.66666666667)</f>
        <v>45870.66667</v>
      </c>
      <c r="F44" s="10">
        <f>IFERROR(__xludf.DUMMYFUNCTION("""COMPUTED_VALUE"""),214.03)</f>
        <v>214.03</v>
      </c>
      <c r="G44" s="10">
        <f>IFERROR(__xludf.DUMMYFUNCTION("""COMPUTED_VALUE"""),214.85)</f>
        <v>214.85</v>
      </c>
      <c r="H44" s="10">
        <f>IFERROR(__xludf.DUMMYFUNCTION("""COMPUTED_VALUE"""),201.5)</f>
        <v>201.5</v>
      </c>
      <c r="I44" s="10">
        <f>IFERROR(__xludf.DUMMYFUNCTION("""COMPUTED_VALUE"""),202.38)</f>
        <v>202.38</v>
      </c>
      <c r="J44" s="10">
        <f>IFERROR(__xludf.DUMMYFUNCTION("""COMPUTED_VALUE"""),3.19915158E8)</f>
        <v>319915158</v>
      </c>
    </row>
    <row r="45">
      <c r="E45" s="9">
        <f>IFERROR(__xludf.DUMMYFUNCTION("""COMPUTED_VALUE"""),45877.66666666667)</f>
        <v>45877.66667</v>
      </c>
      <c r="F45" s="10">
        <f>IFERROR(__xludf.DUMMYFUNCTION("""COMPUTED_VALUE"""),204.51)</f>
        <v>204.51</v>
      </c>
      <c r="G45" s="10">
        <f>IFERROR(__xludf.DUMMYFUNCTION("""COMPUTED_VALUE"""),231.0)</f>
        <v>231</v>
      </c>
      <c r="H45" s="10">
        <f>IFERROR(__xludf.DUMMYFUNCTION("""COMPUTED_VALUE"""),201.68)</f>
        <v>201.68</v>
      </c>
      <c r="I45" s="10">
        <f>IFERROR(__xludf.DUMMYFUNCTION("""COMPUTED_VALUE"""),229.35)</f>
        <v>229.35</v>
      </c>
      <c r="J45" s="10">
        <f>IFERROR(__xludf.DUMMYFUNCTION("""COMPUTED_VALUE"""),4.31826281E8)</f>
        <v>431826281</v>
      </c>
    </row>
    <row r="46">
      <c r="E46" s="9">
        <f>IFERROR(__xludf.DUMMYFUNCTION("""COMPUTED_VALUE"""),45884.66666666667)</f>
        <v>45884.66667</v>
      </c>
      <c r="F46" s="10">
        <f>IFERROR(__xludf.DUMMYFUNCTION("""COMPUTED_VALUE"""),227.92)</f>
        <v>227.92</v>
      </c>
      <c r="G46" s="10">
        <f>IFERROR(__xludf.DUMMYFUNCTION("""COMPUTED_VALUE"""),235.12)</f>
        <v>235.12</v>
      </c>
      <c r="H46" s="10">
        <f>IFERROR(__xludf.DUMMYFUNCTION("""COMPUTED_VALUE"""),224.76)</f>
        <v>224.76</v>
      </c>
      <c r="I46" s="10">
        <f>IFERROR(__xludf.DUMMYFUNCTION("""COMPUTED_VALUE"""),231.59)</f>
        <v>231.59</v>
      </c>
      <c r="J46" s="10">
        <f>IFERROR(__xludf.DUMMYFUNCTION("""COMPUTED_VALUE"""),2.95311911E8)</f>
        <v>295311911</v>
      </c>
    </row>
    <row r="47">
      <c r="E47" s="9">
        <f>IFERROR(__xludf.DUMMYFUNCTION("""COMPUTED_VALUE"""),45891.66666666667)</f>
        <v>45891.66667</v>
      </c>
      <c r="F47" s="10">
        <f>IFERROR(__xludf.DUMMYFUNCTION("""COMPUTED_VALUE"""),231.7)</f>
        <v>231.7</v>
      </c>
      <c r="G47" s="10">
        <f>IFERROR(__xludf.DUMMYFUNCTION("""COMPUTED_VALUE"""),233.12)</f>
        <v>233.12</v>
      </c>
      <c r="H47" s="10">
        <f>IFERROR(__xludf.DUMMYFUNCTION("""COMPUTED_VALUE"""),223.78)</f>
        <v>223.78</v>
      </c>
      <c r="I47" s="10">
        <f>IFERROR(__xludf.DUMMYFUNCTION("""COMPUTED_VALUE"""),227.76)</f>
        <v>227.76</v>
      </c>
      <c r="J47" s="10">
        <f>IFERROR(__xludf.DUMMYFUNCTION("""COMPUTED_VALUE"""),1.92241677E8)</f>
        <v>192241677</v>
      </c>
    </row>
    <row r="48">
      <c r="E48" s="9">
        <f>IFERROR(__xludf.DUMMYFUNCTION("""COMPUTED_VALUE"""),45898.66666666667)</f>
        <v>45898.66667</v>
      </c>
      <c r="F48" s="10">
        <f>IFERROR(__xludf.DUMMYFUNCTION("""COMPUTED_VALUE"""),226.48)</f>
        <v>226.48</v>
      </c>
      <c r="G48" s="10">
        <f>IFERROR(__xludf.DUMMYFUNCTION("""COMPUTED_VALUE"""),233.41)</f>
        <v>233.41</v>
      </c>
      <c r="H48" s="10">
        <f>IFERROR(__xludf.DUMMYFUNCTION("""COMPUTED_VALUE"""),224.69)</f>
        <v>224.69</v>
      </c>
      <c r="I48" s="10">
        <f>IFERROR(__xludf.DUMMYFUNCTION("""COMPUTED_VALUE"""),232.14)</f>
        <v>232.14</v>
      </c>
      <c r="J48" s="10">
        <f>IFERROR(__xludf.DUMMYFUNCTION("""COMPUTED_VALUE"""),1.9431089E8)</f>
        <v>194310890</v>
      </c>
    </row>
    <row r="49">
      <c r="E49" s="9">
        <f>IFERROR(__xludf.DUMMYFUNCTION("""COMPUTED_VALUE"""),45905.66666666667)</f>
        <v>45905.66667</v>
      </c>
      <c r="F49" s="10">
        <f>IFERROR(__xludf.DUMMYFUNCTION("""COMPUTED_VALUE"""),229.25)</f>
        <v>229.25</v>
      </c>
      <c r="G49" s="10">
        <f>IFERROR(__xludf.DUMMYFUNCTION("""COMPUTED_VALUE"""),241.32)</f>
        <v>241.32</v>
      </c>
      <c r="H49" s="10">
        <f>IFERROR(__xludf.DUMMYFUNCTION("""COMPUTED_VALUE"""),226.97)</f>
        <v>226.97</v>
      </c>
      <c r="I49" s="10">
        <f>IFERROR(__xludf.DUMMYFUNCTION("""COMPUTED_VALUE"""),239.69)</f>
        <v>239.69</v>
      </c>
      <c r="J49" s="10">
        <f>IFERROR(__xludf.DUMMYFUNCTION("""COMPUTED_VALUE"""),2.12923299E8)</f>
        <v>212923299</v>
      </c>
    </row>
    <row r="50">
      <c r="E50" s="9">
        <f>IFERROR(__xludf.DUMMYFUNCTION("""COMPUTED_VALUE"""),45912.66666666667)</f>
        <v>45912.66667</v>
      </c>
      <c r="F50" s="10">
        <f>IFERROR(__xludf.DUMMYFUNCTION("""COMPUTED_VALUE"""),239.3)</f>
        <v>239.3</v>
      </c>
      <c r="G50" s="10">
        <f>IFERROR(__xludf.DUMMYFUNCTION("""COMPUTED_VALUE"""),240.15)</f>
        <v>240.15</v>
      </c>
      <c r="H50" s="10">
        <f>IFERROR(__xludf.DUMMYFUNCTION("""COMPUTED_VALUE"""),225.95)</f>
        <v>225.95</v>
      </c>
      <c r="I50" s="10">
        <f>IFERROR(__xludf.DUMMYFUNCTION("""COMPUTED_VALUE"""),234.07)</f>
        <v>234.07</v>
      </c>
      <c r="J50" s="10">
        <f>IFERROR(__xludf.DUMMYFUNCTION("""COMPUTED_VALUE"""),3.04787017E8)</f>
        <v>304787017</v>
      </c>
    </row>
    <row r="51">
      <c r="E51" s="9">
        <f>IFERROR(__xludf.DUMMYFUNCTION("""COMPUTED_VALUE"""),45919.66666666667)</f>
        <v>45919.66667</v>
      </c>
      <c r="F51" s="10">
        <f>IFERROR(__xludf.DUMMYFUNCTION("""COMPUTED_VALUE"""),237.0)</f>
        <v>237</v>
      </c>
      <c r="G51" s="10">
        <f>IFERROR(__xludf.DUMMYFUNCTION("""COMPUTED_VALUE"""),246.3)</f>
        <v>246.3</v>
      </c>
      <c r="H51" s="10">
        <f>IFERROR(__xludf.DUMMYFUNCTION("""COMPUTED_VALUE"""),235.03)</f>
        <v>235.03</v>
      </c>
      <c r="I51" s="10">
        <f>IFERROR(__xludf.DUMMYFUNCTION("""COMPUTED_VALUE"""),245.5)</f>
        <v>245.5</v>
      </c>
      <c r="J51" s="10">
        <f>IFERROR(__xludf.DUMMYFUNCTION("""COMPUTED_VALUE"""),3.6061953E8)</f>
        <v>360619530</v>
      </c>
    </row>
    <row r="52">
      <c r="E52" s="9">
        <f>IFERROR(__xludf.DUMMYFUNCTION("""COMPUTED_VALUE"""),45926.66666666667)</f>
        <v>45926.66667</v>
      </c>
      <c r="F52" s="10">
        <f>IFERROR(__xludf.DUMMYFUNCTION("""COMPUTED_VALUE"""),248.3)</f>
        <v>248.3</v>
      </c>
      <c r="G52" s="10">
        <f>IFERROR(__xludf.DUMMYFUNCTION("""COMPUTED_VALUE"""),257.6)</f>
        <v>257.6</v>
      </c>
      <c r="H52" s="10">
        <f>IFERROR(__xludf.DUMMYFUNCTION("""COMPUTED_VALUE"""),248.12)</f>
        <v>248.12</v>
      </c>
      <c r="I52" s="10">
        <f>IFERROR(__xludf.DUMMYFUNCTION("""COMPUTED_VALUE"""),255.46)</f>
        <v>255.46</v>
      </c>
      <c r="J52" s="10">
        <f>IFERROR(__xludf.DUMMYFUNCTION("""COMPUTED_VALUE"""),3.09374646E8)</f>
        <v>309374646</v>
      </c>
    </row>
    <row r="53">
      <c r="E53" s="9">
        <f>IFERROR(__xludf.DUMMYFUNCTION("""COMPUTED_VALUE"""),45933.66666666667)</f>
        <v>45933.66667</v>
      </c>
      <c r="F53" s="10">
        <f>IFERROR(__xludf.DUMMYFUNCTION("""COMPUTED_VALUE"""),254.56)</f>
        <v>254.56</v>
      </c>
      <c r="G53" s="10">
        <f>IFERROR(__xludf.DUMMYFUNCTION("""COMPUTED_VALUE"""),259.24)</f>
        <v>259.24</v>
      </c>
      <c r="H53" s="10">
        <f>IFERROR(__xludf.DUMMYFUNCTION("""COMPUTED_VALUE"""),253.01)</f>
        <v>253.01</v>
      </c>
      <c r="I53" s="10">
        <f>IFERROR(__xludf.DUMMYFUNCTION("""COMPUTED_VALUE"""),258.02)</f>
        <v>258.02</v>
      </c>
      <c r="J53" s="10">
        <f>IFERROR(__xludf.DUMMYFUNCTION("""COMPUTED_VALUE"""),2.18331739E8)</f>
        <v>218331739</v>
      </c>
    </row>
    <row r="54">
      <c r="E54" s="9">
        <f>IFERROR(__xludf.DUMMYFUNCTION("""COMPUTED_VALUE"""),45940.66666666667)</f>
        <v>45940.66667</v>
      </c>
      <c r="F54" s="10">
        <f>IFERROR(__xludf.DUMMYFUNCTION("""COMPUTED_VALUE"""),257.99)</f>
        <v>257.99</v>
      </c>
      <c r="G54" s="10">
        <f>IFERROR(__xludf.DUMMYFUNCTION("""COMPUTED_VALUE"""),259.07)</f>
        <v>259.07</v>
      </c>
      <c r="H54" s="10">
        <f>IFERROR(__xludf.DUMMYFUNCTION("""COMPUTED_VALUE"""),244.0)</f>
        <v>244</v>
      </c>
      <c r="I54" s="10">
        <f>IFERROR(__xludf.DUMMYFUNCTION("""COMPUTED_VALUE"""),245.27)</f>
        <v>245.27</v>
      </c>
      <c r="J54" s="10">
        <f>IFERROR(__xludf.DUMMYFUNCTION("""COMPUTED_VALUE"""),2.13437899E8)</f>
        <v>213437899</v>
      </c>
    </row>
    <row r="55">
      <c r="E55" s="9">
        <f>IFERROR(__xludf.DUMMYFUNCTION("""COMPUTED_VALUE"""),45947.66666666667)</f>
        <v>45947.66667</v>
      </c>
      <c r="F55" s="10">
        <f>IFERROR(__xludf.DUMMYFUNCTION("""COMPUTED_VALUE"""),249.38)</f>
        <v>249.38</v>
      </c>
      <c r="G55" s="10">
        <f>IFERROR(__xludf.DUMMYFUNCTION("""COMPUTED_VALUE"""),253.38)</f>
        <v>253.38</v>
      </c>
      <c r="H55" s="10">
        <f>IFERROR(__xludf.DUMMYFUNCTION("""COMPUTED_VALUE"""),244.7)</f>
        <v>244.7</v>
      </c>
      <c r="I55" s="10">
        <f>IFERROR(__xludf.DUMMYFUNCTION("""COMPUTED_VALUE"""),252.29)</f>
        <v>252.29</v>
      </c>
      <c r="J55" s="10">
        <f>IFERROR(__xludf.DUMMYFUNCTION("""COMPUTED_VALUE"""),1.96438474E8)</f>
        <v>196438474</v>
      </c>
    </row>
    <row r="56">
      <c r="E56" s="9">
        <f>IFERROR(__xludf.DUMMYFUNCTION("""COMPUTED_VALUE"""),45954.66666666667)</f>
        <v>45954.66667</v>
      </c>
      <c r="F56" s="10">
        <f>IFERROR(__xludf.DUMMYFUNCTION("""COMPUTED_VALUE"""),255.89)</f>
        <v>255.89</v>
      </c>
      <c r="G56" s="10">
        <f>IFERROR(__xludf.DUMMYFUNCTION("""COMPUTED_VALUE"""),265.29)</f>
        <v>265.29</v>
      </c>
      <c r="H56" s="10">
        <f>IFERROR(__xludf.DUMMYFUNCTION("""COMPUTED_VALUE"""),255.43)</f>
        <v>255.43</v>
      </c>
      <c r="I56" s="10">
        <f>IFERROR(__xludf.DUMMYFUNCTION("""COMPUTED_VALUE"""),262.82)</f>
        <v>262.82</v>
      </c>
      <c r="J56" s="10">
        <f>IFERROR(__xludf.DUMMYFUNCTION("""COMPUTED_VALUE"""),2.53202889E8)</f>
        <v>253202889</v>
      </c>
    </row>
    <row r="57">
      <c r="E57" s="9">
        <f>IFERROR(__xludf.DUMMYFUNCTION("""COMPUTED_VALUE"""),45961.66666666667)</f>
        <v>45961.66667</v>
      </c>
      <c r="F57" s="10">
        <f>IFERROR(__xludf.DUMMYFUNCTION("""COMPUTED_VALUE"""),264.88)</f>
        <v>264.88</v>
      </c>
      <c r="G57" s="10">
        <f>IFERROR(__xludf.DUMMYFUNCTION("""COMPUTED_VALUE"""),277.32)</f>
        <v>277.32</v>
      </c>
      <c r="H57" s="10">
        <f>IFERROR(__xludf.DUMMYFUNCTION("""COMPUTED_VALUE"""),264.65)</f>
        <v>264.65</v>
      </c>
      <c r="I57" s="10">
        <f>IFERROR(__xludf.DUMMYFUNCTION("""COMPUTED_VALUE"""),270.37)</f>
        <v>270.37</v>
      </c>
      <c r="J57" s="10">
        <f>IFERROR(__xludf.DUMMYFUNCTION("""COMPUTED_VALUE"""),2.9356331E8)</f>
        <v>293563310</v>
      </c>
    </row>
    <row r="58">
      <c r="E58" s="9">
        <f>IFERROR(__xludf.DUMMYFUNCTION("""COMPUTED_VALUE"""),45968.66666666667)</f>
        <v>45968.66667</v>
      </c>
      <c r="F58" s="10">
        <f>IFERROR(__xludf.DUMMYFUNCTION("""COMPUTED_VALUE"""),270.42)</f>
        <v>270.42</v>
      </c>
      <c r="G58" s="10">
        <f>IFERROR(__xludf.DUMMYFUNCTION("""COMPUTED_VALUE"""),273.4)</f>
        <v>273.4</v>
      </c>
      <c r="H58" s="10">
        <f>IFERROR(__xludf.DUMMYFUNCTION("""COMPUTED_VALUE"""),266.25)</f>
        <v>266.25</v>
      </c>
      <c r="I58" s="10">
        <f>IFERROR(__xludf.DUMMYFUNCTION("""COMPUTED_VALUE"""),268.47)</f>
        <v>268.47</v>
      </c>
      <c r="J58" s="10">
        <f>IFERROR(__xludf.DUMMYFUNCTION("""COMPUTED_VALUE"""),2.42583911E8)</f>
        <v>242583911</v>
      </c>
    </row>
    <row r="59">
      <c r="E59" s="9">
        <f>IFERROR(__xludf.DUMMYFUNCTION("""COMPUTED_VALUE"""),45975.66666666667)</f>
        <v>45975.66667</v>
      </c>
      <c r="F59" s="10">
        <f>IFERROR(__xludf.DUMMYFUNCTION("""COMPUTED_VALUE"""),268.96)</f>
        <v>268.96</v>
      </c>
      <c r="G59" s="10">
        <f>IFERROR(__xludf.DUMMYFUNCTION("""COMPUTED_VALUE"""),276.7)</f>
        <v>276.7</v>
      </c>
      <c r="H59" s="10">
        <f>IFERROR(__xludf.DUMMYFUNCTION("""COMPUTED_VALUE"""),267.46)</f>
        <v>267.46</v>
      </c>
      <c r="I59" s="10">
        <f>IFERROR(__xludf.DUMMYFUNCTION("""COMPUTED_VALUE"""),272.41)</f>
        <v>272.41</v>
      </c>
      <c r="J59" s="10">
        <f>IFERROR(__xludf.DUMMYFUNCTION("""COMPUTED_VALUE"""),2.32952837E8)</f>
        <v>232952837</v>
      </c>
    </row>
    <row r="60">
      <c r="E60" s="9">
        <f>IFERROR(__xludf.DUMMYFUNCTION("""COMPUTED_VALUE"""),45982.66666666667)</f>
        <v>45982.66667</v>
      </c>
      <c r="F60" s="10">
        <f>IFERROR(__xludf.DUMMYFUNCTION("""COMPUTED_VALUE"""),268.82)</f>
        <v>268.82</v>
      </c>
      <c r="G60" s="10">
        <f>IFERROR(__xludf.DUMMYFUNCTION("""COMPUTED_VALUE"""),275.43)</f>
        <v>275.43</v>
      </c>
      <c r="H60" s="10">
        <f>IFERROR(__xludf.DUMMYFUNCTION("""COMPUTED_VALUE"""),265.32)</f>
        <v>265.32</v>
      </c>
      <c r="I60" s="10">
        <f>IFERROR(__xludf.DUMMYFUNCTION("""COMPUTED_VALUE"""),271.49)</f>
        <v>271.49</v>
      </c>
      <c r="J60" s="10">
        <f>IFERROR(__xludf.DUMMYFUNCTION("""COMPUTED_VALUE"""),2.3597443E8)</f>
        <v>235974430</v>
      </c>
    </row>
    <row r="61">
      <c r="E61" s="20"/>
      <c r="F61" s="21"/>
      <c r="G61" s="21"/>
      <c r="H61" s="21"/>
      <c r="I61" s="21"/>
      <c r="J61" s="21"/>
    </row>
  </sheetData>
  <mergeCells count="2">
    <mergeCell ref="E7:J7"/>
    <mergeCell ref="B15:C15"/>
  </mergeCells>
  <dataValidations>
    <dataValidation type="list" allowBlank="1" showErrorMessage="1" sqref="E4">
      <formula1>"AAPL,GOOG,MSFT,AMZN,TSLA,INTC,KO,PFE,JPM,NVDA"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20.0"/>
  </cols>
  <sheetData>
    <row r="4">
      <c r="B4" s="1" t="s">
        <v>2</v>
      </c>
    </row>
    <row r="5">
      <c r="B5" s="3" t="s">
        <v>15</v>
      </c>
    </row>
    <row r="7">
      <c r="A7" s="1" t="s">
        <v>0</v>
      </c>
      <c r="B7" s="1" t="s">
        <v>1</v>
      </c>
    </row>
    <row r="8">
      <c r="A8" s="2" t="s">
        <v>3</v>
      </c>
      <c r="B8" s="2" t="s">
        <v>4</v>
      </c>
    </row>
    <row r="9">
      <c r="A9" s="4" t="s">
        <v>5</v>
      </c>
      <c r="B9" s="4" t="s">
        <v>6</v>
      </c>
    </row>
    <row r="10">
      <c r="A10" s="4" t="s">
        <v>7</v>
      </c>
      <c r="B10" s="4" t="s">
        <v>8</v>
      </c>
    </row>
    <row r="11">
      <c r="A11" s="4" t="s">
        <v>9</v>
      </c>
      <c r="B11" s="4" t="s">
        <v>10</v>
      </c>
    </row>
    <row r="12">
      <c r="A12" s="4" t="s">
        <v>12</v>
      </c>
      <c r="B12" s="4" t="s">
        <v>13</v>
      </c>
    </row>
    <row r="13">
      <c r="A13" s="4" t="s">
        <v>14</v>
      </c>
      <c r="B13" s="4" t="s">
        <v>15</v>
      </c>
    </row>
    <row r="14">
      <c r="A14" s="4" t="s">
        <v>16</v>
      </c>
      <c r="B14" s="4" t="s">
        <v>17</v>
      </c>
    </row>
    <row r="15">
      <c r="A15" s="4" t="s">
        <v>18</v>
      </c>
      <c r="B15" s="4" t="s">
        <v>19</v>
      </c>
    </row>
    <row r="16">
      <c r="A16" s="4" t="s">
        <v>20</v>
      </c>
      <c r="B16" s="4" t="s">
        <v>21</v>
      </c>
    </row>
    <row r="17">
      <c r="A17" s="11" t="s">
        <v>22</v>
      </c>
      <c r="B17" s="11" t="s">
        <v>23</v>
      </c>
    </row>
    <row r="58">
      <c r="C58" s="22" t="s">
        <v>35</v>
      </c>
      <c r="K58" s="23" t="s">
        <v>36</v>
      </c>
      <c r="S58" s="24" t="s">
        <v>37</v>
      </c>
    </row>
    <row r="59">
      <c r="C59" s="25" t="str">
        <f>IFERROR(__xludf.DUMMYFUNCTION("GOOGLEFINANCE(B5,""all"",TODAY()-365,TODAY(),""DAILY"")"),"Date")</f>
        <v>Date</v>
      </c>
      <c r="D59" s="25" t="str">
        <f>IFERROR(__xludf.DUMMYFUNCTION("""COMPUTED_VALUE"""),"Open")</f>
        <v>Open</v>
      </c>
      <c r="E59" s="25" t="str">
        <f>IFERROR(__xludf.DUMMYFUNCTION("""COMPUTED_VALUE"""),"High")</f>
        <v>High</v>
      </c>
      <c r="F59" s="25" t="str">
        <f>IFERROR(__xludf.DUMMYFUNCTION("""COMPUTED_VALUE"""),"Low")</f>
        <v>Low</v>
      </c>
      <c r="G59" s="25" t="str">
        <f>IFERROR(__xludf.DUMMYFUNCTION("""COMPUTED_VALUE"""),"Close")</f>
        <v>Close</v>
      </c>
      <c r="H59" s="25" t="str">
        <f>IFERROR(__xludf.DUMMYFUNCTION("""COMPUTED_VALUE"""),"Volume")</f>
        <v>Volume</v>
      </c>
      <c r="I59" s="26" t="s">
        <v>38</v>
      </c>
      <c r="K59" s="25" t="str">
        <f>IFERROR(__xludf.DUMMYFUNCTION("GOOGLEFINANCE(B5,""all"",TODAY()-30,TODAY(),""DAILY"")"),"Date")</f>
        <v>Date</v>
      </c>
      <c r="L59" s="25" t="str">
        <f>IFERROR(__xludf.DUMMYFUNCTION("""COMPUTED_VALUE"""),"Open")</f>
        <v>Open</v>
      </c>
      <c r="M59" s="25" t="str">
        <f>IFERROR(__xludf.DUMMYFUNCTION("""COMPUTED_VALUE"""),"High")</f>
        <v>High</v>
      </c>
      <c r="N59" s="25" t="str">
        <f>IFERROR(__xludf.DUMMYFUNCTION("""COMPUTED_VALUE"""),"Low")</f>
        <v>Low</v>
      </c>
      <c r="O59" s="25" t="str">
        <f>IFERROR(__xludf.DUMMYFUNCTION("""COMPUTED_VALUE"""),"Close")</f>
        <v>Close</v>
      </c>
      <c r="P59" s="25" t="str">
        <f>IFERROR(__xludf.DUMMYFUNCTION("""COMPUTED_VALUE"""),"Volume")</f>
        <v>Volume</v>
      </c>
      <c r="Q59" s="26" t="s">
        <v>39</v>
      </c>
      <c r="S59" s="25" t="str">
        <f>IFERROR(__xludf.DUMMYFUNCTION("GOOGLEFINANCE(B5,""all"",TODAY()-7,TODAY(),""daily"")"),"Date")</f>
        <v>Date</v>
      </c>
      <c r="T59" s="25" t="str">
        <f>IFERROR(__xludf.DUMMYFUNCTION("""COMPUTED_VALUE"""),"Open")</f>
        <v>Open</v>
      </c>
      <c r="U59" s="25" t="str">
        <f>IFERROR(__xludf.DUMMYFUNCTION("""COMPUTED_VALUE"""),"High")</f>
        <v>High</v>
      </c>
      <c r="V59" s="25" t="str">
        <f>IFERROR(__xludf.DUMMYFUNCTION("""COMPUTED_VALUE"""),"Low")</f>
        <v>Low</v>
      </c>
      <c r="W59" s="25" t="str">
        <f>IFERROR(__xludf.DUMMYFUNCTION("""COMPUTED_VALUE"""),"Close")</f>
        <v>Close</v>
      </c>
      <c r="X59" s="25" t="str">
        <f>IFERROR(__xludf.DUMMYFUNCTION("""COMPUTED_VALUE"""),"Volume")</f>
        <v>Volume</v>
      </c>
      <c r="Y59" s="26" t="s">
        <v>40</v>
      </c>
    </row>
    <row r="60">
      <c r="C60" s="27">
        <f>IFERROR(__xludf.DUMMYFUNCTION("""COMPUTED_VALUE"""),45623.66666666667)</f>
        <v>45623.66667</v>
      </c>
      <c r="D60" s="25">
        <f>IFERROR(__xludf.DUMMYFUNCTION("""COMPUTED_VALUE"""),23.83)</f>
        <v>23.83</v>
      </c>
      <c r="E60" s="25">
        <f>IFERROR(__xludf.DUMMYFUNCTION("""COMPUTED_VALUE"""),23.93)</f>
        <v>23.93</v>
      </c>
      <c r="F60" s="25">
        <f>IFERROR(__xludf.DUMMYFUNCTION("""COMPUTED_VALUE"""),23.06)</f>
        <v>23.06</v>
      </c>
      <c r="G60" s="25">
        <f>IFERROR(__xludf.DUMMYFUNCTION("""COMPUTED_VALUE"""),23.65)</f>
        <v>23.65</v>
      </c>
      <c r="H60" s="25">
        <f>IFERROR(__xludf.DUMMYFUNCTION("""COMPUTED_VALUE"""),5.3992319E7)</f>
        <v>53992319</v>
      </c>
      <c r="I60" s="28" t="s">
        <v>41</v>
      </c>
      <c r="K60" s="27">
        <f>IFERROR(__xludf.DUMMYFUNCTION("""COMPUTED_VALUE"""),45958.66666666667)</f>
        <v>45958.66667</v>
      </c>
      <c r="L60" s="29">
        <f>IFERROR(__xludf.DUMMYFUNCTION("""COMPUTED_VALUE"""),39.59)</f>
        <v>39.59</v>
      </c>
      <c r="M60" s="25">
        <f>IFERROR(__xludf.DUMMYFUNCTION("""COMPUTED_VALUE"""),42.48)</f>
        <v>42.48</v>
      </c>
      <c r="N60" s="25">
        <f>IFERROR(__xludf.DUMMYFUNCTION("""COMPUTED_VALUE"""),39.54)</f>
        <v>39.54</v>
      </c>
      <c r="O60" s="25">
        <f>IFERROR(__xludf.DUMMYFUNCTION("""COMPUTED_VALUE"""),41.53)</f>
        <v>41.53</v>
      </c>
      <c r="P60" s="25">
        <f>IFERROR(__xludf.DUMMYFUNCTION("""COMPUTED_VALUE"""),1.8125637E8)</f>
        <v>181256370</v>
      </c>
      <c r="Q60" s="30" t="s">
        <v>41</v>
      </c>
      <c r="S60" s="27">
        <f>IFERROR(__xludf.DUMMYFUNCTION("""COMPUTED_VALUE"""),45981.66666666667)</f>
        <v>45981.66667</v>
      </c>
      <c r="T60" s="25">
        <f>IFERROR(__xludf.DUMMYFUNCTION("""COMPUTED_VALUE"""),36.0)</f>
        <v>36</v>
      </c>
      <c r="U60" s="25">
        <f>IFERROR(__xludf.DUMMYFUNCTION("""COMPUTED_VALUE"""),36.68)</f>
        <v>36.68</v>
      </c>
      <c r="V60" s="25">
        <f>IFERROR(__xludf.DUMMYFUNCTION("""COMPUTED_VALUE"""),33.48)</f>
        <v>33.48</v>
      </c>
      <c r="W60" s="25">
        <f>IFERROR(__xludf.DUMMYFUNCTION("""COMPUTED_VALUE"""),33.62)</f>
        <v>33.62</v>
      </c>
      <c r="X60" s="25">
        <f>IFERROR(__xludf.DUMMYFUNCTION("""COMPUTED_VALUE"""),9.6389096E7)</f>
        <v>96389096</v>
      </c>
      <c r="Y60" s="30" t="s">
        <v>41</v>
      </c>
    </row>
    <row r="61">
      <c r="C61" s="27">
        <f>IFERROR(__xludf.DUMMYFUNCTION("""COMPUTED_VALUE"""),45625.54513888889)</f>
        <v>45625.54514</v>
      </c>
      <c r="D61" s="25">
        <f>IFERROR(__xludf.DUMMYFUNCTION("""COMPUTED_VALUE"""),23.72)</f>
        <v>23.72</v>
      </c>
      <c r="E61" s="25">
        <f>IFERROR(__xludf.DUMMYFUNCTION("""COMPUTED_VALUE"""),24.28)</f>
        <v>24.28</v>
      </c>
      <c r="F61" s="25">
        <f>IFERROR(__xludf.DUMMYFUNCTION("""COMPUTED_VALUE"""),23.6)</f>
        <v>23.6</v>
      </c>
      <c r="G61" s="25">
        <f>IFERROR(__xludf.DUMMYFUNCTION("""COMPUTED_VALUE"""),24.05)</f>
        <v>24.05</v>
      </c>
      <c r="H61" s="25">
        <f>IFERROR(__xludf.DUMMYFUNCTION("""COMPUTED_VALUE"""),3.661675E7)</f>
        <v>36616750</v>
      </c>
      <c r="I61" s="28" t="s">
        <v>41</v>
      </c>
      <c r="K61" s="27">
        <f>IFERROR(__xludf.DUMMYFUNCTION("""COMPUTED_VALUE"""),45959.66666666667)</f>
        <v>45959.66667</v>
      </c>
      <c r="L61" s="29">
        <f>IFERROR(__xludf.DUMMYFUNCTION("""COMPUTED_VALUE"""),41.6)</f>
        <v>41.6</v>
      </c>
      <c r="M61" s="25">
        <f>IFERROR(__xludf.DUMMYFUNCTION("""COMPUTED_VALUE"""),42.04)</f>
        <v>42.04</v>
      </c>
      <c r="N61" s="25">
        <f>IFERROR(__xludf.DUMMYFUNCTION("""COMPUTED_VALUE"""),40.92)</f>
        <v>40.92</v>
      </c>
      <c r="O61" s="25">
        <f>IFERROR(__xludf.DUMMYFUNCTION("""COMPUTED_VALUE"""),41.34)</f>
        <v>41.34</v>
      </c>
      <c r="P61" s="25">
        <f>IFERROR(__xludf.DUMMYFUNCTION("""COMPUTED_VALUE"""),1.06962947E8)</f>
        <v>106962947</v>
      </c>
      <c r="Q61" s="30" t="s">
        <v>41</v>
      </c>
      <c r="S61" s="27">
        <f>IFERROR(__xludf.DUMMYFUNCTION("""COMPUTED_VALUE"""),45982.66666666667)</f>
        <v>45982.66667</v>
      </c>
      <c r="T61" s="25">
        <f>IFERROR(__xludf.DUMMYFUNCTION("""COMPUTED_VALUE"""),33.51)</f>
        <v>33.51</v>
      </c>
      <c r="U61" s="25">
        <f>IFERROR(__xludf.DUMMYFUNCTION("""COMPUTED_VALUE"""),34.98)</f>
        <v>34.98</v>
      </c>
      <c r="V61" s="25">
        <f>IFERROR(__xludf.DUMMYFUNCTION("""COMPUTED_VALUE"""),32.89)</f>
        <v>32.89</v>
      </c>
      <c r="W61" s="25">
        <f>IFERROR(__xludf.DUMMYFUNCTION("""COMPUTED_VALUE"""),34.5)</f>
        <v>34.5</v>
      </c>
      <c r="X61" s="25">
        <f>IFERROR(__xludf.DUMMYFUNCTION("""COMPUTED_VALUE"""),1.0564167E8)</f>
        <v>105641670</v>
      </c>
      <c r="Y61" s="25">
        <f t="shared" ref="Y61:Y64" si="1">AVERAGE(W60:W61)</f>
        <v>34.06</v>
      </c>
    </row>
    <row r="62">
      <c r="C62" s="27">
        <f>IFERROR(__xludf.DUMMYFUNCTION("""COMPUTED_VALUE"""),45628.66666666667)</f>
        <v>45628.66667</v>
      </c>
      <c r="D62" s="25">
        <f>IFERROR(__xludf.DUMMYFUNCTION("""COMPUTED_VALUE"""),24.84)</f>
        <v>24.84</v>
      </c>
      <c r="E62" s="25">
        <f>IFERROR(__xludf.DUMMYFUNCTION("""COMPUTED_VALUE"""),25.48)</f>
        <v>25.48</v>
      </c>
      <c r="F62" s="25">
        <f>IFERROR(__xludf.DUMMYFUNCTION("""COMPUTED_VALUE"""),23.44)</f>
        <v>23.44</v>
      </c>
      <c r="G62" s="25">
        <f>IFERROR(__xludf.DUMMYFUNCTION("""COMPUTED_VALUE"""),23.93)</f>
        <v>23.93</v>
      </c>
      <c r="H62" s="25">
        <f>IFERROR(__xludf.DUMMYFUNCTION("""COMPUTED_VALUE"""),1.50497884E8)</f>
        <v>150497884</v>
      </c>
      <c r="I62" s="28" t="s">
        <v>41</v>
      </c>
      <c r="K62" s="27">
        <f>IFERROR(__xludf.DUMMYFUNCTION("""COMPUTED_VALUE"""),45960.66666666667)</f>
        <v>45960.66667</v>
      </c>
      <c r="L62" s="29">
        <f>IFERROR(__xludf.DUMMYFUNCTION("""COMPUTED_VALUE"""),40.97)</f>
        <v>40.97</v>
      </c>
      <c r="M62" s="25">
        <f>IFERROR(__xludf.DUMMYFUNCTION("""COMPUTED_VALUE"""),41.43)</f>
        <v>41.43</v>
      </c>
      <c r="N62" s="25">
        <f>IFERROR(__xludf.DUMMYFUNCTION("""COMPUTED_VALUE"""),40.11)</f>
        <v>40.11</v>
      </c>
      <c r="O62" s="25">
        <f>IFERROR(__xludf.DUMMYFUNCTION("""COMPUTED_VALUE"""),40.16)</f>
        <v>40.16</v>
      </c>
      <c r="P62" s="25">
        <f>IFERROR(__xludf.DUMMYFUNCTION("""COMPUTED_VALUE"""),8.4855468E7)</f>
        <v>84855468</v>
      </c>
      <c r="Q62" s="31">
        <f t="shared" ref="Q62:Q80" si="2">AVERAGE(O60:O62)</f>
        <v>41.01</v>
      </c>
      <c r="S62" s="27">
        <f>IFERROR(__xludf.DUMMYFUNCTION("""COMPUTED_VALUE"""),45985.66666666667)</f>
        <v>45985.66667</v>
      </c>
      <c r="T62" s="25">
        <f>IFERROR(__xludf.DUMMYFUNCTION("""COMPUTED_VALUE"""),34.97)</f>
        <v>34.97</v>
      </c>
      <c r="U62" s="25">
        <f>IFERROR(__xludf.DUMMYFUNCTION("""COMPUTED_VALUE"""),36.16)</f>
        <v>36.16</v>
      </c>
      <c r="V62" s="25">
        <f>IFERROR(__xludf.DUMMYFUNCTION("""COMPUTED_VALUE"""),34.69)</f>
        <v>34.69</v>
      </c>
      <c r="W62" s="25">
        <f>IFERROR(__xludf.DUMMYFUNCTION("""COMPUTED_VALUE"""),35.79)</f>
        <v>35.79</v>
      </c>
      <c r="X62" s="25">
        <f>IFERROR(__xludf.DUMMYFUNCTION("""COMPUTED_VALUE"""),1.03804208E8)</f>
        <v>103804208</v>
      </c>
      <c r="Y62" s="25">
        <f t="shared" si="1"/>
        <v>35.145</v>
      </c>
    </row>
    <row r="63">
      <c r="C63" s="27">
        <f>IFERROR(__xludf.DUMMYFUNCTION("""COMPUTED_VALUE"""),45629.66666666667)</f>
        <v>45629.66667</v>
      </c>
      <c r="D63" s="25">
        <f>IFERROR(__xludf.DUMMYFUNCTION("""COMPUTED_VALUE"""),23.68)</f>
        <v>23.68</v>
      </c>
      <c r="E63" s="25">
        <f>IFERROR(__xludf.DUMMYFUNCTION("""COMPUTED_VALUE"""),23.75)</f>
        <v>23.75</v>
      </c>
      <c r="F63" s="25">
        <f>IFERROR(__xludf.DUMMYFUNCTION("""COMPUTED_VALUE"""),22.44)</f>
        <v>22.44</v>
      </c>
      <c r="G63" s="25">
        <f>IFERROR(__xludf.DUMMYFUNCTION("""COMPUTED_VALUE"""),22.47)</f>
        <v>22.47</v>
      </c>
      <c r="H63" s="25">
        <f>IFERROR(__xludf.DUMMYFUNCTION("""COMPUTED_VALUE"""),1.38160493E8)</f>
        <v>138160493</v>
      </c>
      <c r="I63" s="28" t="s">
        <v>41</v>
      </c>
      <c r="K63" s="27">
        <f>IFERROR(__xludf.DUMMYFUNCTION("""COMPUTED_VALUE"""),45961.66666666667)</f>
        <v>45961.66667</v>
      </c>
      <c r="L63" s="29">
        <f>IFERROR(__xludf.DUMMYFUNCTION("""COMPUTED_VALUE"""),40.68)</f>
        <v>40.68</v>
      </c>
      <c r="M63" s="25">
        <f>IFERROR(__xludf.DUMMYFUNCTION("""COMPUTED_VALUE"""),40.83)</f>
        <v>40.83</v>
      </c>
      <c r="N63" s="25">
        <f>IFERROR(__xludf.DUMMYFUNCTION("""COMPUTED_VALUE"""),39.79)</f>
        <v>39.79</v>
      </c>
      <c r="O63" s="25">
        <f>IFERROR(__xludf.DUMMYFUNCTION("""COMPUTED_VALUE"""),39.99)</f>
        <v>39.99</v>
      </c>
      <c r="P63" s="25">
        <f>IFERROR(__xludf.DUMMYFUNCTION("""COMPUTED_VALUE"""),8.0471369E7)</f>
        <v>80471369</v>
      </c>
      <c r="Q63" s="31">
        <f t="shared" si="2"/>
        <v>40.49666667</v>
      </c>
      <c r="S63" s="27">
        <f>IFERROR(__xludf.DUMMYFUNCTION("""COMPUTED_VALUE"""),45986.66666666667)</f>
        <v>45986.66667</v>
      </c>
      <c r="T63" s="25">
        <f>IFERROR(__xludf.DUMMYFUNCTION("""COMPUTED_VALUE"""),35.55)</f>
        <v>35.55</v>
      </c>
      <c r="U63" s="25">
        <f>IFERROR(__xludf.DUMMYFUNCTION("""COMPUTED_VALUE"""),36.13)</f>
        <v>36.13</v>
      </c>
      <c r="V63" s="25">
        <f>IFERROR(__xludf.DUMMYFUNCTION("""COMPUTED_VALUE"""),34.68)</f>
        <v>34.68</v>
      </c>
      <c r="W63" s="25">
        <f>IFERROR(__xludf.DUMMYFUNCTION("""COMPUTED_VALUE"""),35.83)</f>
        <v>35.83</v>
      </c>
      <c r="X63" s="25">
        <f>IFERROR(__xludf.DUMMYFUNCTION("""COMPUTED_VALUE"""),6.2203283E7)</f>
        <v>62203283</v>
      </c>
      <c r="Y63" s="25">
        <f t="shared" si="1"/>
        <v>35.81</v>
      </c>
    </row>
    <row r="64">
      <c r="C64" s="27">
        <f>IFERROR(__xludf.DUMMYFUNCTION("""COMPUTED_VALUE"""),45630.66666666667)</f>
        <v>45630.66667</v>
      </c>
      <c r="D64" s="25">
        <f>IFERROR(__xludf.DUMMYFUNCTION("""COMPUTED_VALUE"""),22.53)</f>
        <v>22.53</v>
      </c>
      <c r="E64" s="25">
        <f>IFERROR(__xludf.DUMMYFUNCTION("""COMPUTED_VALUE"""),22.54)</f>
        <v>22.54</v>
      </c>
      <c r="F64" s="25">
        <f>IFERROR(__xludf.DUMMYFUNCTION("""COMPUTED_VALUE"""),21.81)</f>
        <v>21.81</v>
      </c>
      <c r="G64" s="25">
        <f>IFERROR(__xludf.DUMMYFUNCTION("""COMPUTED_VALUE"""),21.96)</f>
        <v>21.96</v>
      </c>
      <c r="H64" s="25">
        <f>IFERROR(__xludf.DUMMYFUNCTION("""COMPUTED_VALUE"""),1.04648976E8)</f>
        <v>104648976</v>
      </c>
      <c r="I64" s="28" t="s">
        <v>41</v>
      </c>
      <c r="K64" s="27">
        <f>IFERROR(__xludf.DUMMYFUNCTION("""COMPUTED_VALUE"""),45964.66666666667)</f>
        <v>45964.66667</v>
      </c>
      <c r="L64" s="29">
        <f>IFERROR(__xludf.DUMMYFUNCTION("""COMPUTED_VALUE"""),40.25)</f>
        <v>40.25</v>
      </c>
      <c r="M64" s="25">
        <f>IFERROR(__xludf.DUMMYFUNCTION("""COMPUTED_VALUE"""),40.45)</f>
        <v>40.45</v>
      </c>
      <c r="N64" s="25">
        <f>IFERROR(__xludf.DUMMYFUNCTION("""COMPUTED_VALUE"""),39.05)</f>
        <v>39.05</v>
      </c>
      <c r="O64" s="25">
        <f>IFERROR(__xludf.DUMMYFUNCTION("""COMPUTED_VALUE"""),39.5)</f>
        <v>39.5</v>
      </c>
      <c r="P64" s="25">
        <f>IFERROR(__xludf.DUMMYFUNCTION("""COMPUTED_VALUE"""),6.1267512E7)</f>
        <v>61267512</v>
      </c>
      <c r="Q64" s="31">
        <f t="shared" si="2"/>
        <v>39.88333333</v>
      </c>
      <c r="S64" s="27">
        <f>IFERROR(__xludf.DUMMYFUNCTION("""COMPUTED_VALUE"""),45987.66666666667)</f>
        <v>45987.66667</v>
      </c>
      <c r="T64" s="25">
        <f>IFERROR(__xludf.DUMMYFUNCTION("""COMPUTED_VALUE"""),36.2)</f>
        <v>36.2</v>
      </c>
      <c r="U64" s="25">
        <f>IFERROR(__xludf.DUMMYFUNCTION("""COMPUTED_VALUE"""),37.24)</f>
        <v>37.24</v>
      </c>
      <c r="V64" s="25">
        <f>IFERROR(__xludf.DUMMYFUNCTION("""COMPUTED_VALUE"""),36.13)</f>
        <v>36.13</v>
      </c>
      <c r="W64" s="25">
        <f>IFERROR(__xludf.DUMMYFUNCTION("""COMPUTED_VALUE"""),36.81)</f>
        <v>36.81</v>
      </c>
      <c r="X64" s="25">
        <f>IFERROR(__xludf.DUMMYFUNCTION("""COMPUTED_VALUE"""),5.4563435E7)</f>
        <v>54563435</v>
      </c>
      <c r="Y64" s="25">
        <f t="shared" si="1"/>
        <v>36.32</v>
      </c>
    </row>
    <row r="65">
      <c r="C65" s="27">
        <f>IFERROR(__xludf.DUMMYFUNCTION("""COMPUTED_VALUE"""),45631.66666666667)</f>
        <v>45631.66667</v>
      </c>
      <c r="D65" s="25">
        <f>IFERROR(__xludf.DUMMYFUNCTION("""COMPUTED_VALUE"""),22.04)</f>
        <v>22.04</v>
      </c>
      <c r="E65" s="25">
        <f>IFERROR(__xludf.DUMMYFUNCTION("""COMPUTED_VALUE"""),22.19)</f>
        <v>22.19</v>
      </c>
      <c r="F65" s="25">
        <f>IFERROR(__xludf.DUMMYFUNCTION("""COMPUTED_VALUE"""),20.66)</f>
        <v>20.66</v>
      </c>
      <c r="G65" s="25">
        <f>IFERROR(__xludf.DUMMYFUNCTION("""COMPUTED_VALUE"""),20.8)</f>
        <v>20.8</v>
      </c>
      <c r="H65" s="25">
        <f>IFERROR(__xludf.DUMMYFUNCTION("""COMPUTED_VALUE"""),1.67993483E8)</f>
        <v>167993483</v>
      </c>
      <c r="I65" s="28" t="s">
        <v>41</v>
      </c>
      <c r="K65" s="27">
        <f>IFERROR(__xludf.DUMMYFUNCTION("""COMPUTED_VALUE"""),45965.66666666667)</f>
        <v>45965.66667</v>
      </c>
      <c r="L65" s="29">
        <f>IFERROR(__xludf.DUMMYFUNCTION("""COMPUTED_VALUE"""),38.14)</f>
        <v>38.14</v>
      </c>
      <c r="M65" s="25">
        <f>IFERROR(__xludf.DUMMYFUNCTION("""COMPUTED_VALUE"""),38.25)</f>
        <v>38.25</v>
      </c>
      <c r="N65" s="25">
        <f>IFERROR(__xludf.DUMMYFUNCTION("""COMPUTED_VALUE"""),36.63)</f>
        <v>36.63</v>
      </c>
      <c r="O65" s="25">
        <f>IFERROR(__xludf.DUMMYFUNCTION("""COMPUTED_VALUE"""),37.03)</f>
        <v>37.03</v>
      </c>
      <c r="P65" s="25">
        <f>IFERROR(__xludf.DUMMYFUNCTION("""COMPUTED_VALUE"""),1.02250306E8)</f>
        <v>102250306</v>
      </c>
      <c r="Q65" s="31">
        <f t="shared" si="2"/>
        <v>38.84</v>
      </c>
    </row>
    <row r="66">
      <c r="C66" s="27">
        <f>IFERROR(__xludf.DUMMYFUNCTION("""COMPUTED_VALUE"""),45632.66666666667)</f>
        <v>45632.66667</v>
      </c>
      <c r="D66" s="25">
        <f>IFERROR(__xludf.DUMMYFUNCTION("""COMPUTED_VALUE"""),20.95)</f>
        <v>20.95</v>
      </c>
      <c r="E66" s="25">
        <f>IFERROR(__xludf.DUMMYFUNCTION("""COMPUTED_VALUE"""),21.05)</f>
        <v>21.05</v>
      </c>
      <c r="F66" s="25">
        <f>IFERROR(__xludf.DUMMYFUNCTION("""COMPUTED_VALUE"""),20.66)</f>
        <v>20.66</v>
      </c>
      <c r="G66" s="25">
        <f>IFERROR(__xludf.DUMMYFUNCTION("""COMPUTED_VALUE"""),20.92)</f>
        <v>20.92</v>
      </c>
      <c r="H66" s="25">
        <f>IFERROR(__xludf.DUMMYFUNCTION("""COMPUTED_VALUE"""),7.8539132E7)</f>
        <v>78539132</v>
      </c>
      <c r="I66" s="28" t="s">
        <v>41</v>
      </c>
      <c r="K66" s="27">
        <f>IFERROR(__xludf.DUMMYFUNCTION("""COMPUTED_VALUE"""),45966.66666666667)</f>
        <v>45966.66667</v>
      </c>
      <c r="L66" s="29">
        <f>IFERROR(__xludf.DUMMYFUNCTION("""COMPUTED_VALUE"""),37.42)</f>
        <v>37.42</v>
      </c>
      <c r="M66" s="25">
        <f>IFERROR(__xludf.DUMMYFUNCTION("""COMPUTED_VALUE"""),38.69)</f>
        <v>38.69</v>
      </c>
      <c r="N66" s="25">
        <f>IFERROR(__xludf.DUMMYFUNCTION("""COMPUTED_VALUE"""),37.11)</f>
        <v>37.11</v>
      </c>
      <c r="O66" s="25">
        <f>IFERROR(__xludf.DUMMYFUNCTION("""COMPUTED_VALUE"""),38.38)</f>
        <v>38.38</v>
      </c>
      <c r="P66" s="25">
        <f>IFERROR(__xludf.DUMMYFUNCTION("""COMPUTED_VALUE"""),7.4631599E7)</f>
        <v>74631599</v>
      </c>
      <c r="Q66" s="31">
        <f t="shared" si="2"/>
        <v>38.30333333</v>
      </c>
    </row>
    <row r="67">
      <c r="C67" s="27">
        <f>IFERROR(__xludf.DUMMYFUNCTION("""COMPUTED_VALUE"""),45635.66666666667)</f>
        <v>45635.66667</v>
      </c>
      <c r="D67" s="25">
        <f>IFERROR(__xludf.DUMMYFUNCTION("""COMPUTED_VALUE"""),20.92)</f>
        <v>20.92</v>
      </c>
      <c r="E67" s="25">
        <f>IFERROR(__xludf.DUMMYFUNCTION("""COMPUTED_VALUE"""),21.06)</f>
        <v>21.06</v>
      </c>
      <c r="F67" s="25">
        <f>IFERROR(__xludf.DUMMYFUNCTION("""COMPUTED_VALUE"""),20.73)</f>
        <v>20.73</v>
      </c>
      <c r="G67" s="25">
        <f>IFERROR(__xludf.DUMMYFUNCTION("""COMPUTED_VALUE"""),20.81)</f>
        <v>20.81</v>
      </c>
      <c r="H67" s="25">
        <f>IFERROR(__xludf.DUMMYFUNCTION("""COMPUTED_VALUE"""),6.8818217E7)</f>
        <v>68818217</v>
      </c>
      <c r="I67" s="28" t="s">
        <v>41</v>
      </c>
      <c r="K67" s="27">
        <f>IFERROR(__xludf.DUMMYFUNCTION("""COMPUTED_VALUE"""),45967.66666666667)</f>
        <v>45967.66667</v>
      </c>
      <c r="L67" s="29">
        <f>IFERROR(__xludf.DUMMYFUNCTION("""COMPUTED_VALUE"""),38.34)</f>
        <v>38.34</v>
      </c>
      <c r="M67" s="25">
        <f>IFERROR(__xludf.DUMMYFUNCTION("""COMPUTED_VALUE"""),39.84)</f>
        <v>39.84</v>
      </c>
      <c r="N67" s="25">
        <f>IFERROR(__xludf.DUMMYFUNCTION("""COMPUTED_VALUE"""),36.8)</f>
        <v>36.8</v>
      </c>
      <c r="O67" s="25">
        <f>IFERROR(__xludf.DUMMYFUNCTION("""COMPUTED_VALUE"""),37.24)</f>
        <v>37.24</v>
      </c>
      <c r="P67" s="25">
        <f>IFERROR(__xludf.DUMMYFUNCTION("""COMPUTED_VALUE"""),7.7629908E7)</f>
        <v>77629908</v>
      </c>
      <c r="Q67" s="31">
        <f t="shared" si="2"/>
        <v>37.55</v>
      </c>
    </row>
    <row r="68">
      <c r="C68" s="27">
        <f>IFERROR(__xludf.DUMMYFUNCTION("""COMPUTED_VALUE"""),45636.66666666667)</f>
        <v>45636.66667</v>
      </c>
      <c r="D68" s="25">
        <f>IFERROR(__xludf.DUMMYFUNCTION("""COMPUTED_VALUE"""),20.83)</f>
        <v>20.83</v>
      </c>
      <c r="E68" s="25">
        <f>IFERROR(__xludf.DUMMYFUNCTION("""COMPUTED_VALUE"""),20.86)</f>
        <v>20.86</v>
      </c>
      <c r="F68" s="25">
        <f>IFERROR(__xludf.DUMMYFUNCTION("""COMPUTED_VALUE"""),19.96)</f>
        <v>19.96</v>
      </c>
      <c r="G68" s="25">
        <f>IFERROR(__xludf.DUMMYFUNCTION("""COMPUTED_VALUE"""),20.16)</f>
        <v>20.16</v>
      </c>
      <c r="H68" s="25">
        <f>IFERROR(__xludf.DUMMYFUNCTION("""COMPUTED_VALUE"""),9.0004833E7)</f>
        <v>90004833</v>
      </c>
      <c r="I68" s="28" t="s">
        <v>41</v>
      </c>
      <c r="K68" s="27">
        <f>IFERROR(__xludf.DUMMYFUNCTION("""COMPUTED_VALUE"""),45968.66666666667)</f>
        <v>45968.66667</v>
      </c>
      <c r="L68" s="29">
        <f>IFERROR(__xludf.DUMMYFUNCTION("""COMPUTED_VALUE"""),37.26)</f>
        <v>37.26</v>
      </c>
      <c r="M68" s="25">
        <f>IFERROR(__xludf.DUMMYFUNCTION("""COMPUTED_VALUE"""),38.27)</f>
        <v>38.27</v>
      </c>
      <c r="N68" s="25">
        <f>IFERROR(__xludf.DUMMYFUNCTION("""COMPUTED_VALUE"""),36.97)</f>
        <v>36.97</v>
      </c>
      <c r="O68" s="25">
        <f>IFERROR(__xludf.DUMMYFUNCTION("""COMPUTED_VALUE"""),38.13)</f>
        <v>38.13</v>
      </c>
      <c r="P68" s="25">
        <f>IFERROR(__xludf.DUMMYFUNCTION("""COMPUTED_VALUE"""),9.5521436E7)</f>
        <v>95521436</v>
      </c>
      <c r="Q68" s="31">
        <f t="shared" si="2"/>
        <v>37.91666667</v>
      </c>
    </row>
    <row r="69">
      <c r="C69" s="27">
        <f>IFERROR(__xludf.DUMMYFUNCTION("""COMPUTED_VALUE"""),45637.66666666667)</f>
        <v>45637.66667</v>
      </c>
      <c r="D69" s="25">
        <f>IFERROR(__xludf.DUMMYFUNCTION("""COMPUTED_VALUE"""),20.14)</f>
        <v>20.14</v>
      </c>
      <c r="E69" s="25">
        <f>IFERROR(__xludf.DUMMYFUNCTION("""COMPUTED_VALUE"""),20.25)</f>
        <v>20.25</v>
      </c>
      <c r="F69" s="25">
        <f>IFERROR(__xludf.DUMMYFUNCTION("""COMPUTED_VALUE"""),19.87)</f>
        <v>19.87</v>
      </c>
      <c r="G69" s="25">
        <f>IFERROR(__xludf.DUMMYFUNCTION("""COMPUTED_VALUE"""),20.12)</f>
        <v>20.12</v>
      </c>
      <c r="H69" s="25">
        <f>IFERROR(__xludf.DUMMYFUNCTION("""COMPUTED_VALUE"""),7.5209342E7)</f>
        <v>75209342</v>
      </c>
      <c r="I69" s="28" t="s">
        <v>41</v>
      </c>
      <c r="K69" s="27">
        <f>IFERROR(__xludf.DUMMYFUNCTION("""COMPUTED_VALUE"""),45971.66666666667)</f>
        <v>45971.66667</v>
      </c>
      <c r="L69" s="29">
        <f>IFERROR(__xludf.DUMMYFUNCTION("""COMPUTED_VALUE"""),38.93)</f>
        <v>38.93</v>
      </c>
      <c r="M69" s="25">
        <f>IFERROR(__xludf.DUMMYFUNCTION("""COMPUTED_VALUE"""),39.53)</f>
        <v>39.53</v>
      </c>
      <c r="N69" s="25">
        <f>IFERROR(__xludf.DUMMYFUNCTION("""COMPUTED_VALUE"""),37.97)</f>
        <v>37.97</v>
      </c>
      <c r="O69" s="25">
        <f>IFERROR(__xludf.DUMMYFUNCTION("""COMPUTED_VALUE"""),38.45)</f>
        <v>38.45</v>
      </c>
      <c r="P69" s="25">
        <f>IFERROR(__xludf.DUMMYFUNCTION("""COMPUTED_VALUE"""),7.7820266E7)</f>
        <v>77820266</v>
      </c>
      <c r="Q69" s="31">
        <f t="shared" si="2"/>
        <v>37.94</v>
      </c>
    </row>
    <row r="70">
      <c r="C70" s="27">
        <f>IFERROR(__xludf.DUMMYFUNCTION("""COMPUTED_VALUE"""),45638.66666666667)</f>
        <v>45638.66667</v>
      </c>
      <c r="D70" s="25">
        <f>IFERROR(__xludf.DUMMYFUNCTION("""COMPUTED_VALUE"""),20.02)</f>
        <v>20.02</v>
      </c>
      <c r="E70" s="25">
        <f>IFERROR(__xludf.DUMMYFUNCTION("""COMPUTED_VALUE"""),20.9)</f>
        <v>20.9</v>
      </c>
      <c r="F70" s="25">
        <f>IFERROR(__xludf.DUMMYFUNCTION("""COMPUTED_VALUE"""),19.92)</f>
        <v>19.92</v>
      </c>
      <c r="G70" s="25">
        <f>IFERROR(__xludf.DUMMYFUNCTION("""COMPUTED_VALUE"""),20.78)</f>
        <v>20.78</v>
      </c>
      <c r="H70" s="25">
        <f>IFERROR(__xludf.DUMMYFUNCTION("""COMPUTED_VALUE"""),7.769501E7)</f>
        <v>77695010</v>
      </c>
      <c r="I70" s="28" t="s">
        <v>41</v>
      </c>
      <c r="K70" s="27">
        <f>IFERROR(__xludf.DUMMYFUNCTION("""COMPUTED_VALUE"""),45972.66666666667)</f>
        <v>45972.66667</v>
      </c>
      <c r="L70" s="29">
        <f>IFERROR(__xludf.DUMMYFUNCTION("""COMPUTED_VALUE"""),38.15)</f>
        <v>38.15</v>
      </c>
      <c r="M70" s="25">
        <f>IFERROR(__xludf.DUMMYFUNCTION("""COMPUTED_VALUE"""),38.22)</f>
        <v>38.22</v>
      </c>
      <c r="N70" s="25">
        <f>IFERROR(__xludf.DUMMYFUNCTION("""COMPUTED_VALUE"""),37.49)</f>
        <v>37.49</v>
      </c>
      <c r="O70" s="25">
        <f>IFERROR(__xludf.DUMMYFUNCTION("""COMPUTED_VALUE"""),37.88)</f>
        <v>37.88</v>
      </c>
      <c r="P70" s="25">
        <f>IFERROR(__xludf.DUMMYFUNCTION("""COMPUTED_VALUE"""),5.3741898E7)</f>
        <v>53741898</v>
      </c>
      <c r="Q70" s="31">
        <f t="shared" si="2"/>
        <v>38.15333333</v>
      </c>
    </row>
    <row r="71">
      <c r="C71" s="27">
        <f>IFERROR(__xludf.DUMMYFUNCTION("""COMPUTED_VALUE"""),45639.66666666667)</f>
        <v>45639.66667</v>
      </c>
      <c r="D71" s="25">
        <f>IFERROR(__xludf.DUMMYFUNCTION("""COMPUTED_VALUE"""),20.6)</f>
        <v>20.6</v>
      </c>
      <c r="E71" s="25">
        <f>IFERROR(__xludf.DUMMYFUNCTION("""COMPUTED_VALUE"""),20.8)</f>
        <v>20.8</v>
      </c>
      <c r="F71" s="25">
        <f>IFERROR(__xludf.DUMMYFUNCTION("""COMPUTED_VALUE"""),20.25)</f>
        <v>20.25</v>
      </c>
      <c r="G71" s="25">
        <f>IFERROR(__xludf.DUMMYFUNCTION("""COMPUTED_VALUE"""),20.34)</f>
        <v>20.34</v>
      </c>
      <c r="H71" s="25">
        <f>IFERROR(__xludf.DUMMYFUNCTION("""COMPUTED_VALUE"""),5.5104079E7)</f>
        <v>55104079</v>
      </c>
      <c r="I71" s="28" t="s">
        <v>41</v>
      </c>
      <c r="K71" s="27">
        <f>IFERROR(__xludf.DUMMYFUNCTION("""COMPUTED_VALUE"""),45973.66666666667)</f>
        <v>45973.66667</v>
      </c>
      <c r="L71" s="29">
        <f>IFERROR(__xludf.DUMMYFUNCTION("""COMPUTED_VALUE"""),38.06)</f>
        <v>38.06</v>
      </c>
      <c r="M71" s="25">
        <f>IFERROR(__xludf.DUMMYFUNCTION("""COMPUTED_VALUE"""),38.2)</f>
        <v>38.2</v>
      </c>
      <c r="N71" s="25">
        <f>IFERROR(__xludf.DUMMYFUNCTION("""COMPUTED_VALUE"""),37.35)</f>
        <v>37.35</v>
      </c>
      <c r="O71" s="25">
        <f>IFERROR(__xludf.DUMMYFUNCTION("""COMPUTED_VALUE"""),37.89)</f>
        <v>37.89</v>
      </c>
      <c r="P71" s="25">
        <f>IFERROR(__xludf.DUMMYFUNCTION("""COMPUTED_VALUE"""),5.3875959E7)</f>
        <v>53875959</v>
      </c>
      <c r="Q71" s="31">
        <f t="shared" si="2"/>
        <v>38.07333333</v>
      </c>
    </row>
    <row r="72">
      <c r="C72" s="27">
        <f>IFERROR(__xludf.DUMMYFUNCTION("""COMPUTED_VALUE"""),45642.66666666667)</f>
        <v>45642.66667</v>
      </c>
      <c r="D72" s="25">
        <f>IFERROR(__xludf.DUMMYFUNCTION("""COMPUTED_VALUE"""),20.17)</f>
        <v>20.17</v>
      </c>
      <c r="E72" s="25">
        <f>IFERROR(__xludf.DUMMYFUNCTION("""COMPUTED_VALUE"""),21.1)</f>
        <v>21.1</v>
      </c>
      <c r="F72" s="25">
        <f>IFERROR(__xludf.DUMMYFUNCTION("""COMPUTED_VALUE"""),20.0)</f>
        <v>20</v>
      </c>
      <c r="G72" s="25">
        <f>IFERROR(__xludf.DUMMYFUNCTION("""COMPUTED_VALUE"""),20.83)</f>
        <v>20.83</v>
      </c>
      <c r="H72" s="25">
        <f>IFERROR(__xludf.DUMMYFUNCTION("""COMPUTED_VALUE"""),7.3832891E7)</f>
        <v>73832891</v>
      </c>
      <c r="I72" s="31">
        <f t="shared" ref="I72:I77" si="3">AVERAGE(G1:G72)</f>
        <v>21.60153846</v>
      </c>
      <c r="K72" s="27">
        <f>IFERROR(__xludf.DUMMYFUNCTION("""COMPUTED_VALUE"""),45974.66666666667)</f>
        <v>45974.66667</v>
      </c>
      <c r="L72" s="29">
        <f>IFERROR(__xludf.DUMMYFUNCTION("""COMPUTED_VALUE"""),37.27)</f>
        <v>37.27</v>
      </c>
      <c r="M72" s="25">
        <f>IFERROR(__xludf.DUMMYFUNCTION("""COMPUTED_VALUE"""),37.31)</f>
        <v>37.31</v>
      </c>
      <c r="N72" s="25">
        <f>IFERROR(__xludf.DUMMYFUNCTION("""COMPUTED_VALUE"""),35.45)</f>
        <v>35.45</v>
      </c>
      <c r="O72" s="25">
        <f>IFERROR(__xludf.DUMMYFUNCTION("""COMPUTED_VALUE"""),35.91)</f>
        <v>35.91</v>
      </c>
      <c r="P72" s="25">
        <f>IFERROR(__xludf.DUMMYFUNCTION("""COMPUTED_VALUE"""),9.559317E7)</f>
        <v>95593170</v>
      </c>
      <c r="Q72" s="31">
        <f t="shared" si="2"/>
        <v>37.22666667</v>
      </c>
    </row>
    <row r="73">
      <c r="C73" s="27">
        <f>IFERROR(__xludf.DUMMYFUNCTION("""COMPUTED_VALUE"""),45643.66666666667)</f>
        <v>45643.66667</v>
      </c>
      <c r="D73" s="25">
        <f>IFERROR(__xludf.DUMMYFUNCTION("""COMPUTED_VALUE"""),20.64)</f>
        <v>20.64</v>
      </c>
      <c r="E73" s="25">
        <f>IFERROR(__xludf.DUMMYFUNCTION("""COMPUTED_VALUE"""),20.77)</f>
        <v>20.77</v>
      </c>
      <c r="F73" s="25">
        <f>IFERROR(__xludf.DUMMYFUNCTION("""COMPUTED_VALUE"""),20.29)</f>
        <v>20.29</v>
      </c>
      <c r="G73" s="25">
        <f>IFERROR(__xludf.DUMMYFUNCTION("""COMPUTED_VALUE"""),20.44)</f>
        <v>20.44</v>
      </c>
      <c r="H73" s="25">
        <f>IFERROR(__xludf.DUMMYFUNCTION("""COMPUTED_VALUE"""),5.1767153E7)</f>
        <v>51767153</v>
      </c>
      <c r="I73" s="31">
        <f t="shared" si="3"/>
        <v>21.51857143</v>
      </c>
      <c r="K73" s="27">
        <f>IFERROR(__xludf.DUMMYFUNCTION("""COMPUTED_VALUE"""),45975.66666666667)</f>
        <v>45975.66667</v>
      </c>
      <c r="L73" s="29">
        <f>IFERROR(__xludf.DUMMYFUNCTION("""COMPUTED_VALUE"""),35.03)</f>
        <v>35.03</v>
      </c>
      <c r="M73" s="25">
        <f>IFERROR(__xludf.DUMMYFUNCTION("""COMPUTED_VALUE"""),36.1)</f>
        <v>36.1</v>
      </c>
      <c r="N73" s="25">
        <f>IFERROR(__xludf.DUMMYFUNCTION("""COMPUTED_VALUE"""),34.62)</f>
        <v>34.62</v>
      </c>
      <c r="O73" s="25">
        <f>IFERROR(__xludf.DUMMYFUNCTION("""COMPUTED_VALUE"""),35.52)</f>
        <v>35.52</v>
      </c>
      <c r="P73" s="25">
        <f>IFERROR(__xludf.DUMMYFUNCTION("""COMPUTED_VALUE"""),7.171618E7)</f>
        <v>71716180</v>
      </c>
      <c r="Q73" s="31">
        <f t="shared" si="2"/>
        <v>36.44</v>
      </c>
    </row>
    <row r="74">
      <c r="C74" s="27">
        <f>IFERROR(__xludf.DUMMYFUNCTION("""COMPUTED_VALUE"""),45644.66666666667)</f>
        <v>45644.66667</v>
      </c>
      <c r="D74" s="25">
        <f>IFERROR(__xludf.DUMMYFUNCTION("""COMPUTED_VALUE"""),20.48)</f>
        <v>20.48</v>
      </c>
      <c r="E74" s="25">
        <f>IFERROR(__xludf.DUMMYFUNCTION("""COMPUTED_VALUE"""),20.58)</f>
        <v>20.58</v>
      </c>
      <c r="F74" s="25">
        <f>IFERROR(__xludf.DUMMYFUNCTION("""COMPUTED_VALUE"""),19.21)</f>
        <v>19.21</v>
      </c>
      <c r="G74" s="25">
        <f>IFERROR(__xludf.DUMMYFUNCTION("""COMPUTED_VALUE"""),19.3)</f>
        <v>19.3</v>
      </c>
      <c r="H74" s="25">
        <f>IFERROR(__xludf.DUMMYFUNCTION("""COMPUTED_VALUE"""),8.6041243E7)</f>
        <v>86041243</v>
      </c>
      <c r="I74" s="31">
        <f t="shared" si="3"/>
        <v>21.37066667</v>
      </c>
      <c r="K74" s="27">
        <f>IFERROR(__xludf.DUMMYFUNCTION("""COMPUTED_VALUE"""),45978.66666666667)</f>
        <v>45978.66667</v>
      </c>
      <c r="L74" s="29">
        <f>IFERROR(__xludf.DUMMYFUNCTION("""COMPUTED_VALUE"""),35.45)</f>
        <v>35.45</v>
      </c>
      <c r="M74" s="25">
        <f>IFERROR(__xludf.DUMMYFUNCTION("""COMPUTED_VALUE"""),35.73)</f>
        <v>35.73</v>
      </c>
      <c r="N74" s="25">
        <f>IFERROR(__xludf.DUMMYFUNCTION("""COMPUTED_VALUE"""),34.23)</f>
        <v>34.23</v>
      </c>
      <c r="O74" s="25">
        <f>IFERROR(__xludf.DUMMYFUNCTION("""COMPUTED_VALUE"""),34.71)</f>
        <v>34.71</v>
      </c>
      <c r="P74" s="25">
        <f>IFERROR(__xludf.DUMMYFUNCTION("""COMPUTED_VALUE"""),7.2580118E7)</f>
        <v>72580118</v>
      </c>
      <c r="Q74" s="31">
        <f t="shared" si="2"/>
        <v>35.38</v>
      </c>
    </row>
    <row r="75">
      <c r="C75" s="27">
        <f>IFERROR(__xludf.DUMMYFUNCTION("""COMPUTED_VALUE"""),45645.66666666667)</f>
        <v>45645.66667</v>
      </c>
      <c r="D75" s="25">
        <f>IFERROR(__xludf.DUMMYFUNCTION("""COMPUTED_VALUE"""),19.53)</f>
        <v>19.53</v>
      </c>
      <c r="E75" s="25">
        <f>IFERROR(__xludf.DUMMYFUNCTION("""COMPUTED_VALUE"""),19.69)</f>
        <v>19.69</v>
      </c>
      <c r="F75" s="25">
        <f>IFERROR(__xludf.DUMMYFUNCTION("""COMPUTED_VALUE"""),19.03)</f>
        <v>19.03</v>
      </c>
      <c r="G75" s="25">
        <f>IFERROR(__xludf.DUMMYFUNCTION("""COMPUTED_VALUE"""),19.06)</f>
        <v>19.06</v>
      </c>
      <c r="H75" s="25">
        <f>IFERROR(__xludf.DUMMYFUNCTION("""COMPUTED_VALUE"""),6.9117805E7)</f>
        <v>69117805</v>
      </c>
      <c r="I75" s="31">
        <f t="shared" si="3"/>
        <v>21.22625</v>
      </c>
      <c r="K75" s="27">
        <f>IFERROR(__xludf.DUMMYFUNCTION("""COMPUTED_VALUE"""),45979.66666666667)</f>
        <v>45979.66667</v>
      </c>
      <c r="L75" s="29">
        <f>IFERROR(__xludf.DUMMYFUNCTION("""COMPUTED_VALUE"""),34.25)</f>
        <v>34.25</v>
      </c>
      <c r="M75" s="25">
        <f>IFERROR(__xludf.DUMMYFUNCTION("""COMPUTED_VALUE"""),34.76)</f>
        <v>34.76</v>
      </c>
      <c r="N75" s="25">
        <f>IFERROR(__xludf.DUMMYFUNCTION("""COMPUTED_VALUE"""),33.57)</f>
        <v>33.57</v>
      </c>
      <c r="O75" s="25">
        <f>IFERROR(__xludf.DUMMYFUNCTION("""COMPUTED_VALUE"""),34.33)</f>
        <v>34.33</v>
      </c>
      <c r="P75" s="25">
        <f>IFERROR(__xludf.DUMMYFUNCTION("""COMPUTED_VALUE"""),6.1504802E7)</f>
        <v>61504802</v>
      </c>
      <c r="Q75" s="31">
        <f t="shared" si="2"/>
        <v>34.85333333</v>
      </c>
    </row>
    <row r="76">
      <c r="C76" s="27">
        <f>IFERROR(__xludf.DUMMYFUNCTION("""COMPUTED_VALUE"""),45646.66666666667)</f>
        <v>45646.66667</v>
      </c>
      <c r="D76" s="25">
        <f>IFERROR(__xludf.DUMMYFUNCTION("""COMPUTED_VALUE"""),18.97)</f>
        <v>18.97</v>
      </c>
      <c r="E76" s="25">
        <f>IFERROR(__xludf.DUMMYFUNCTION("""COMPUTED_VALUE"""),19.76)</f>
        <v>19.76</v>
      </c>
      <c r="F76" s="25">
        <f>IFERROR(__xludf.DUMMYFUNCTION("""COMPUTED_VALUE"""),18.9)</f>
        <v>18.9</v>
      </c>
      <c r="G76" s="25">
        <f>IFERROR(__xludf.DUMMYFUNCTION("""COMPUTED_VALUE"""),19.52)</f>
        <v>19.52</v>
      </c>
      <c r="H76" s="25">
        <f>IFERROR(__xludf.DUMMYFUNCTION("""COMPUTED_VALUE"""),1.08453667E8)</f>
        <v>108453667</v>
      </c>
      <c r="I76" s="31">
        <f t="shared" si="3"/>
        <v>21.12588235</v>
      </c>
      <c r="K76" s="27">
        <f>IFERROR(__xludf.DUMMYFUNCTION("""COMPUTED_VALUE"""),45980.66666666667)</f>
        <v>45980.66667</v>
      </c>
      <c r="L76" s="29">
        <f>IFERROR(__xludf.DUMMYFUNCTION("""COMPUTED_VALUE"""),34.33)</f>
        <v>34.33</v>
      </c>
      <c r="M76" s="25">
        <f>IFERROR(__xludf.DUMMYFUNCTION("""COMPUTED_VALUE"""),35.75)</f>
        <v>35.75</v>
      </c>
      <c r="N76" s="25">
        <f>IFERROR(__xludf.DUMMYFUNCTION("""COMPUTED_VALUE"""),34.25)</f>
        <v>34.25</v>
      </c>
      <c r="O76" s="25">
        <f>IFERROR(__xludf.DUMMYFUNCTION("""COMPUTED_VALUE"""),35.11)</f>
        <v>35.11</v>
      </c>
      <c r="P76" s="25">
        <f>IFERROR(__xludf.DUMMYFUNCTION("""COMPUTED_VALUE"""),6.7115474E7)</f>
        <v>67115474</v>
      </c>
      <c r="Q76" s="31">
        <f t="shared" si="2"/>
        <v>34.71666667</v>
      </c>
    </row>
    <row r="77">
      <c r="C77" s="27">
        <f>IFERROR(__xludf.DUMMYFUNCTION("""COMPUTED_VALUE"""),45649.66666666667)</f>
        <v>45649.66667</v>
      </c>
      <c r="D77" s="25">
        <f>IFERROR(__xludf.DUMMYFUNCTION("""COMPUTED_VALUE"""),19.58)</f>
        <v>19.58</v>
      </c>
      <c r="E77" s="25">
        <f>IFERROR(__xludf.DUMMYFUNCTION("""COMPUTED_VALUE"""),20.23)</f>
        <v>20.23</v>
      </c>
      <c r="F77" s="25">
        <f>IFERROR(__xludf.DUMMYFUNCTION("""COMPUTED_VALUE"""),19.52)</f>
        <v>19.52</v>
      </c>
      <c r="G77" s="25">
        <f>IFERROR(__xludf.DUMMYFUNCTION("""COMPUTED_VALUE"""),20.2)</f>
        <v>20.2</v>
      </c>
      <c r="H77" s="25">
        <f>IFERROR(__xludf.DUMMYFUNCTION("""COMPUTED_VALUE"""),5.7988375E7)</f>
        <v>57988375</v>
      </c>
      <c r="I77" s="31">
        <f t="shared" si="3"/>
        <v>21.07444444</v>
      </c>
      <c r="K77" s="27">
        <f>IFERROR(__xludf.DUMMYFUNCTION("""COMPUTED_VALUE"""),45981.66666666667)</f>
        <v>45981.66667</v>
      </c>
      <c r="L77" s="29">
        <f>IFERROR(__xludf.DUMMYFUNCTION("""COMPUTED_VALUE"""),36.0)</f>
        <v>36</v>
      </c>
      <c r="M77" s="25">
        <f>IFERROR(__xludf.DUMMYFUNCTION("""COMPUTED_VALUE"""),36.68)</f>
        <v>36.68</v>
      </c>
      <c r="N77" s="25">
        <f>IFERROR(__xludf.DUMMYFUNCTION("""COMPUTED_VALUE"""),33.48)</f>
        <v>33.48</v>
      </c>
      <c r="O77" s="25">
        <f>IFERROR(__xludf.DUMMYFUNCTION("""COMPUTED_VALUE"""),33.62)</f>
        <v>33.62</v>
      </c>
      <c r="P77" s="25">
        <f>IFERROR(__xludf.DUMMYFUNCTION("""COMPUTED_VALUE"""),9.6389096E7)</f>
        <v>96389096</v>
      </c>
      <c r="Q77" s="31">
        <f t="shared" si="2"/>
        <v>34.35333333</v>
      </c>
    </row>
    <row r="78">
      <c r="C78" s="27">
        <f>IFERROR(__xludf.DUMMYFUNCTION("""COMPUTED_VALUE"""),45650.54513888889)</f>
        <v>45650.54514</v>
      </c>
      <c r="D78" s="25">
        <f>IFERROR(__xludf.DUMMYFUNCTION("""COMPUTED_VALUE"""),20.22)</f>
        <v>20.22</v>
      </c>
      <c r="E78" s="25">
        <f>IFERROR(__xludf.DUMMYFUNCTION("""COMPUTED_VALUE"""),20.4)</f>
        <v>20.4</v>
      </c>
      <c r="F78" s="25">
        <f>IFERROR(__xludf.DUMMYFUNCTION("""COMPUTED_VALUE"""),19.96)</f>
        <v>19.96</v>
      </c>
      <c r="G78" s="25">
        <f>IFERROR(__xludf.DUMMYFUNCTION("""COMPUTED_VALUE"""),20.4)</f>
        <v>20.4</v>
      </c>
      <c r="H78" s="25">
        <f>IFERROR(__xludf.DUMMYFUNCTION("""COMPUTED_VALUE"""),2.9884026E7)</f>
        <v>29884026</v>
      </c>
      <c r="I78" s="31">
        <f t="shared" ref="I78:I308" si="4">AVERAGE(G58:G78)</f>
        <v>21.03894737</v>
      </c>
      <c r="K78" s="27">
        <f>IFERROR(__xludf.DUMMYFUNCTION("""COMPUTED_VALUE"""),45982.66666666667)</f>
        <v>45982.66667</v>
      </c>
      <c r="L78" s="29">
        <f>IFERROR(__xludf.DUMMYFUNCTION("""COMPUTED_VALUE"""),33.51)</f>
        <v>33.51</v>
      </c>
      <c r="M78" s="25">
        <f>IFERROR(__xludf.DUMMYFUNCTION("""COMPUTED_VALUE"""),34.98)</f>
        <v>34.98</v>
      </c>
      <c r="N78" s="25">
        <f>IFERROR(__xludf.DUMMYFUNCTION("""COMPUTED_VALUE"""),32.89)</f>
        <v>32.89</v>
      </c>
      <c r="O78" s="25">
        <f>IFERROR(__xludf.DUMMYFUNCTION("""COMPUTED_VALUE"""),34.5)</f>
        <v>34.5</v>
      </c>
      <c r="P78" s="25">
        <f>IFERROR(__xludf.DUMMYFUNCTION("""COMPUTED_VALUE"""),1.0564167E8)</f>
        <v>105641670</v>
      </c>
      <c r="Q78" s="31">
        <f t="shared" si="2"/>
        <v>34.41</v>
      </c>
    </row>
    <row r="79">
      <c r="C79" s="27">
        <f>IFERROR(__xludf.DUMMYFUNCTION("""COMPUTED_VALUE"""),45652.66666666667)</f>
        <v>45652.66667</v>
      </c>
      <c r="D79" s="25">
        <f>IFERROR(__xludf.DUMMYFUNCTION("""COMPUTED_VALUE"""),20.23)</f>
        <v>20.23</v>
      </c>
      <c r="E79" s="25">
        <f>IFERROR(__xludf.DUMMYFUNCTION("""COMPUTED_VALUE"""),20.67)</f>
        <v>20.67</v>
      </c>
      <c r="F79" s="25">
        <f>IFERROR(__xludf.DUMMYFUNCTION("""COMPUTED_VALUE"""),20.08)</f>
        <v>20.08</v>
      </c>
      <c r="G79" s="25">
        <f>IFERROR(__xludf.DUMMYFUNCTION("""COMPUTED_VALUE"""),20.44)</f>
        <v>20.44</v>
      </c>
      <c r="H79" s="25">
        <f>IFERROR(__xludf.DUMMYFUNCTION("""COMPUTED_VALUE"""),3.995038E7)</f>
        <v>39950380</v>
      </c>
      <c r="I79" s="31">
        <f t="shared" si="4"/>
        <v>21.009</v>
      </c>
      <c r="K79" s="27">
        <f>IFERROR(__xludf.DUMMYFUNCTION("""COMPUTED_VALUE"""),45985.66666666667)</f>
        <v>45985.66667</v>
      </c>
      <c r="L79" s="29">
        <f>IFERROR(__xludf.DUMMYFUNCTION("""COMPUTED_VALUE"""),34.97)</f>
        <v>34.97</v>
      </c>
      <c r="M79" s="25">
        <f>IFERROR(__xludf.DUMMYFUNCTION("""COMPUTED_VALUE"""),36.16)</f>
        <v>36.16</v>
      </c>
      <c r="N79" s="25">
        <f>IFERROR(__xludf.DUMMYFUNCTION("""COMPUTED_VALUE"""),34.69)</f>
        <v>34.69</v>
      </c>
      <c r="O79" s="25">
        <f>IFERROR(__xludf.DUMMYFUNCTION("""COMPUTED_VALUE"""),35.79)</f>
        <v>35.79</v>
      </c>
      <c r="P79" s="25">
        <f>IFERROR(__xludf.DUMMYFUNCTION("""COMPUTED_VALUE"""),1.03804208E8)</f>
        <v>103804208</v>
      </c>
      <c r="Q79" s="31">
        <f t="shared" si="2"/>
        <v>34.63666667</v>
      </c>
    </row>
    <row r="80">
      <c r="C80" s="27">
        <f>IFERROR(__xludf.DUMMYFUNCTION("""COMPUTED_VALUE"""),45653.66666666667)</f>
        <v>45653.66667</v>
      </c>
      <c r="D80" s="25">
        <f>IFERROR(__xludf.DUMMYFUNCTION("""COMPUTED_VALUE"""),20.21)</f>
        <v>20.21</v>
      </c>
      <c r="E80" s="25">
        <f>IFERROR(__xludf.DUMMYFUNCTION("""COMPUTED_VALUE"""),20.61)</f>
        <v>20.61</v>
      </c>
      <c r="F80" s="25">
        <f>IFERROR(__xludf.DUMMYFUNCTION("""COMPUTED_VALUE"""),20.09)</f>
        <v>20.09</v>
      </c>
      <c r="G80" s="25">
        <f>IFERROR(__xludf.DUMMYFUNCTION("""COMPUTED_VALUE"""),20.3)</f>
        <v>20.3</v>
      </c>
      <c r="H80" s="25">
        <f>IFERROR(__xludf.DUMMYFUNCTION("""COMPUTED_VALUE"""),4.826083E7)</f>
        <v>48260830</v>
      </c>
      <c r="I80" s="31">
        <f t="shared" si="4"/>
        <v>20.9752381</v>
      </c>
      <c r="K80" s="27">
        <f>IFERROR(__xludf.DUMMYFUNCTION("""COMPUTED_VALUE"""),45986.66666666667)</f>
        <v>45986.66667</v>
      </c>
      <c r="L80" s="29">
        <f>IFERROR(__xludf.DUMMYFUNCTION("""COMPUTED_VALUE"""),35.55)</f>
        <v>35.55</v>
      </c>
      <c r="M80" s="25">
        <f>IFERROR(__xludf.DUMMYFUNCTION("""COMPUTED_VALUE"""),36.13)</f>
        <v>36.13</v>
      </c>
      <c r="N80" s="25">
        <f>IFERROR(__xludf.DUMMYFUNCTION("""COMPUTED_VALUE"""),34.68)</f>
        <v>34.68</v>
      </c>
      <c r="O80" s="25">
        <f>IFERROR(__xludf.DUMMYFUNCTION("""COMPUTED_VALUE"""),35.83)</f>
        <v>35.83</v>
      </c>
      <c r="P80" s="25">
        <f>IFERROR(__xludf.DUMMYFUNCTION("""COMPUTED_VALUE"""),6.2203283E7)</f>
        <v>62203283</v>
      </c>
      <c r="Q80" s="31">
        <f t="shared" si="2"/>
        <v>35.37333333</v>
      </c>
    </row>
    <row r="81">
      <c r="C81" s="27">
        <f>IFERROR(__xludf.DUMMYFUNCTION("""COMPUTED_VALUE"""),45656.66666666667)</f>
        <v>45656.66667</v>
      </c>
      <c r="D81" s="25">
        <f>IFERROR(__xludf.DUMMYFUNCTION("""COMPUTED_VALUE"""),20.01)</f>
        <v>20.01</v>
      </c>
      <c r="E81" s="25">
        <f>IFERROR(__xludf.DUMMYFUNCTION("""COMPUTED_VALUE"""),20.11)</f>
        <v>20.11</v>
      </c>
      <c r="F81" s="25">
        <f>IFERROR(__xludf.DUMMYFUNCTION("""COMPUTED_VALUE"""),19.73)</f>
        <v>19.73</v>
      </c>
      <c r="G81" s="25">
        <f>IFERROR(__xludf.DUMMYFUNCTION("""COMPUTED_VALUE"""),19.82)</f>
        <v>19.82</v>
      </c>
      <c r="H81" s="25">
        <f>IFERROR(__xludf.DUMMYFUNCTION("""COMPUTED_VALUE"""),5.9608126E7)</f>
        <v>59608126</v>
      </c>
      <c r="I81" s="31">
        <f t="shared" si="4"/>
        <v>20.79285714</v>
      </c>
      <c r="K81" s="32">
        <f>IFERROR(__xludf.DUMMYFUNCTION("""COMPUTED_VALUE"""),45987.66666666667)</f>
        <v>45987.66667</v>
      </c>
      <c r="L81" s="25">
        <f>IFERROR(__xludf.DUMMYFUNCTION("""COMPUTED_VALUE"""),36.2)</f>
        <v>36.2</v>
      </c>
      <c r="M81" s="25">
        <f>IFERROR(__xludf.DUMMYFUNCTION("""COMPUTED_VALUE"""),37.24)</f>
        <v>37.24</v>
      </c>
      <c r="N81" s="25">
        <f>IFERROR(__xludf.DUMMYFUNCTION("""COMPUTED_VALUE"""),36.13)</f>
        <v>36.13</v>
      </c>
      <c r="O81" s="25">
        <f>IFERROR(__xludf.DUMMYFUNCTION("""COMPUTED_VALUE"""),36.81)</f>
        <v>36.81</v>
      </c>
      <c r="P81" s="25">
        <f>IFERROR(__xludf.DUMMYFUNCTION("""COMPUTED_VALUE"""),5.4563435E7)</f>
        <v>54563435</v>
      </c>
    </row>
    <row r="82">
      <c r="C82" s="27">
        <f>IFERROR(__xludf.DUMMYFUNCTION("""COMPUTED_VALUE"""),45657.66666666667)</f>
        <v>45657.66667</v>
      </c>
      <c r="D82" s="25">
        <f>IFERROR(__xludf.DUMMYFUNCTION("""COMPUTED_VALUE"""),19.99)</f>
        <v>19.99</v>
      </c>
      <c r="E82" s="25">
        <f>IFERROR(__xludf.DUMMYFUNCTION("""COMPUTED_VALUE"""),20.4)</f>
        <v>20.4</v>
      </c>
      <c r="F82" s="25">
        <f>IFERROR(__xludf.DUMMYFUNCTION("""COMPUTED_VALUE"""),19.88)</f>
        <v>19.88</v>
      </c>
      <c r="G82" s="25">
        <f>IFERROR(__xludf.DUMMYFUNCTION("""COMPUTED_VALUE"""),20.05)</f>
        <v>20.05</v>
      </c>
      <c r="H82" s="25">
        <f>IFERROR(__xludf.DUMMYFUNCTION("""COMPUTED_VALUE"""),4.9846656E7)</f>
        <v>49846656</v>
      </c>
      <c r="I82" s="31">
        <f t="shared" si="4"/>
        <v>20.60238095</v>
      </c>
    </row>
    <row r="83">
      <c r="C83" s="27">
        <f>IFERROR(__xludf.DUMMYFUNCTION("""COMPUTED_VALUE"""),45659.66666666667)</f>
        <v>45659.66667</v>
      </c>
      <c r="D83" s="25">
        <f>IFERROR(__xludf.DUMMYFUNCTION("""COMPUTED_VALUE"""),20.23)</f>
        <v>20.23</v>
      </c>
      <c r="E83" s="25">
        <f>IFERROR(__xludf.DUMMYFUNCTION("""COMPUTED_VALUE"""),20.43)</f>
        <v>20.43</v>
      </c>
      <c r="F83" s="25">
        <f>IFERROR(__xludf.DUMMYFUNCTION("""COMPUTED_VALUE"""),20.0)</f>
        <v>20</v>
      </c>
      <c r="G83" s="25">
        <f>IFERROR(__xludf.DUMMYFUNCTION("""COMPUTED_VALUE"""),20.22)</f>
        <v>20.22</v>
      </c>
      <c r="H83" s="25">
        <f>IFERROR(__xludf.DUMMYFUNCTION("""COMPUTED_VALUE"""),4.6438529E7)</f>
        <v>46438529</v>
      </c>
      <c r="I83" s="31">
        <f t="shared" si="4"/>
        <v>20.42571429</v>
      </c>
    </row>
    <row r="84">
      <c r="C84" s="27">
        <f>IFERROR(__xludf.DUMMYFUNCTION("""COMPUTED_VALUE"""),45660.66666666667)</f>
        <v>45660.66667</v>
      </c>
      <c r="D84" s="25">
        <f>IFERROR(__xludf.DUMMYFUNCTION("""COMPUTED_VALUE"""),20.39)</f>
        <v>20.39</v>
      </c>
      <c r="E84" s="25">
        <f>IFERROR(__xludf.DUMMYFUNCTION("""COMPUTED_VALUE"""),20.67)</f>
        <v>20.67</v>
      </c>
      <c r="F84" s="25">
        <f>IFERROR(__xludf.DUMMYFUNCTION("""COMPUTED_VALUE"""),20.06)</f>
        <v>20.06</v>
      </c>
      <c r="G84" s="25">
        <f>IFERROR(__xludf.DUMMYFUNCTION("""COMPUTED_VALUE"""),20.56)</f>
        <v>20.56</v>
      </c>
      <c r="H84" s="25">
        <f>IFERROR(__xludf.DUMMYFUNCTION("""COMPUTED_VALUE"""),4.8983942E7)</f>
        <v>48983942</v>
      </c>
      <c r="I84" s="31">
        <f t="shared" si="4"/>
        <v>20.3347619</v>
      </c>
    </row>
    <row r="85">
      <c r="C85" s="27">
        <f>IFERROR(__xludf.DUMMYFUNCTION("""COMPUTED_VALUE"""),45663.66666666667)</f>
        <v>45663.66667</v>
      </c>
      <c r="D85" s="25">
        <f>IFERROR(__xludf.DUMMYFUNCTION("""COMPUTED_VALUE"""),20.83)</f>
        <v>20.83</v>
      </c>
      <c r="E85" s="25">
        <f>IFERROR(__xludf.DUMMYFUNCTION("""COMPUTED_VALUE"""),20.98)</f>
        <v>20.98</v>
      </c>
      <c r="F85" s="25">
        <f>IFERROR(__xludf.DUMMYFUNCTION("""COMPUTED_VALUE"""),19.78)</f>
        <v>19.78</v>
      </c>
      <c r="G85" s="25">
        <f>IFERROR(__xludf.DUMMYFUNCTION("""COMPUTED_VALUE"""),19.87)</f>
        <v>19.87</v>
      </c>
      <c r="H85" s="25">
        <f>IFERROR(__xludf.DUMMYFUNCTION("""COMPUTED_VALUE"""),8.327099E7)</f>
        <v>83270990</v>
      </c>
      <c r="I85" s="31">
        <f t="shared" si="4"/>
        <v>20.2352381</v>
      </c>
    </row>
    <row r="86">
      <c r="C86" s="27">
        <f>IFERROR(__xludf.DUMMYFUNCTION("""COMPUTED_VALUE"""),45664.66666666667)</f>
        <v>45664.66667</v>
      </c>
      <c r="D86" s="25">
        <f>IFERROR(__xludf.DUMMYFUNCTION("""COMPUTED_VALUE"""),20.02)</f>
        <v>20.02</v>
      </c>
      <c r="E86" s="25">
        <f>IFERROR(__xludf.DUMMYFUNCTION("""COMPUTED_VALUE"""),20.34)</f>
        <v>20.34</v>
      </c>
      <c r="F86" s="25">
        <f>IFERROR(__xludf.DUMMYFUNCTION("""COMPUTED_VALUE"""),19.9)</f>
        <v>19.9</v>
      </c>
      <c r="G86" s="25">
        <f>IFERROR(__xludf.DUMMYFUNCTION("""COMPUTED_VALUE"""),20.01)</f>
        <v>20.01</v>
      </c>
      <c r="H86" s="25">
        <f>IFERROR(__xludf.DUMMYFUNCTION("""COMPUTED_VALUE"""),6.172606E7)</f>
        <v>61726060</v>
      </c>
      <c r="I86" s="31">
        <f t="shared" si="4"/>
        <v>20.19761905</v>
      </c>
    </row>
    <row r="87">
      <c r="C87" s="27">
        <f>IFERROR(__xludf.DUMMYFUNCTION("""COMPUTED_VALUE"""),45665.66666666667)</f>
        <v>45665.66667</v>
      </c>
      <c r="D87" s="25">
        <f>IFERROR(__xludf.DUMMYFUNCTION("""COMPUTED_VALUE"""),19.83)</f>
        <v>19.83</v>
      </c>
      <c r="E87" s="25">
        <f>IFERROR(__xludf.DUMMYFUNCTION("""COMPUTED_VALUE"""),20.12)</f>
        <v>20.12</v>
      </c>
      <c r="F87" s="25">
        <f>IFERROR(__xludf.DUMMYFUNCTION("""COMPUTED_VALUE"""),19.71)</f>
        <v>19.71</v>
      </c>
      <c r="G87" s="25">
        <f>IFERROR(__xludf.DUMMYFUNCTION("""COMPUTED_VALUE"""),19.88)</f>
        <v>19.88</v>
      </c>
      <c r="H87" s="25">
        <f>IFERROR(__xludf.DUMMYFUNCTION("""COMPUTED_VALUE"""),4.7897071E7)</f>
        <v>47897071</v>
      </c>
      <c r="I87" s="31">
        <f t="shared" si="4"/>
        <v>20.14809524</v>
      </c>
    </row>
    <row r="88">
      <c r="C88" s="27">
        <f>IFERROR(__xludf.DUMMYFUNCTION("""COMPUTED_VALUE"""),45667.66666666667)</f>
        <v>45667.66667</v>
      </c>
      <c r="D88" s="25">
        <f>IFERROR(__xludf.DUMMYFUNCTION("""COMPUTED_VALUE"""),19.66)</f>
        <v>19.66</v>
      </c>
      <c r="E88" s="25">
        <f>IFERROR(__xludf.DUMMYFUNCTION("""COMPUTED_VALUE"""),19.66)</f>
        <v>19.66</v>
      </c>
      <c r="F88" s="25">
        <f>IFERROR(__xludf.DUMMYFUNCTION("""COMPUTED_VALUE"""),18.91)</f>
        <v>18.91</v>
      </c>
      <c r="G88" s="25">
        <f>IFERROR(__xludf.DUMMYFUNCTION("""COMPUTED_VALUE"""),19.15)</f>
        <v>19.15</v>
      </c>
      <c r="H88" s="25">
        <f>IFERROR(__xludf.DUMMYFUNCTION("""COMPUTED_VALUE"""),7.1244581E7)</f>
        <v>71244581</v>
      </c>
      <c r="I88" s="31">
        <f t="shared" si="4"/>
        <v>20.06904762</v>
      </c>
    </row>
    <row r="89">
      <c r="C89" s="27">
        <f>IFERROR(__xludf.DUMMYFUNCTION("""COMPUTED_VALUE"""),45670.66666666667)</f>
        <v>45670.66667</v>
      </c>
      <c r="D89" s="25">
        <f>IFERROR(__xludf.DUMMYFUNCTION("""COMPUTED_VALUE"""),18.92)</f>
        <v>18.92</v>
      </c>
      <c r="E89" s="25">
        <f>IFERROR(__xludf.DUMMYFUNCTION("""COMPUTED_VALUE"""),19.25)</f>
        <v>19.25</v>
      </c>
      <c r="F89" s="25">
        <f>IFERROR(__xludf.DUMMYFUNCTION("""COMPUTED_VALUE"""),18.73)</f>
        <v>18.73</v>
      </c>
      <c r="G89" s="25">
        <f>IFERROR(__xludf.DUMMYFUNCTION("""COMPUTED_VALUE"""),19.2)</f>
        <v>19.2</v>
      </c>
      <c r="H89" s="25">
        <f>IFERROR(__xludf.DUMMYFUNCTION("""COMPUTED_VALUE"""),5.066897E7)</f>
        <v>50668970</v>
      </c>
      <c r="I89" s="31">
        <f t="shared" si="4"/>
        <v>20.02333333</v>
      </c>
    </row>
    <row r="90">
      <c r="C90" s="27">
        <f>IFERROR(__xludf.DUMMYFUNCTION("""COMPUTED_VALUE"""),45671.66666666667)</f>
        <v>45671.66667</v>
      </c>
      <c r="D90" s="25">
        <f>IFERROR(__xludf.DUMMYFUNCTION("""COMPUTED_VALUE"""),19.36)</f>
        <v>19.36</v>
      </c>
      <c r="E90" s="25">
        <f>IFERROR(__xludf.DUMMYFUNCTION("""COMPUTED_VALUE"""),19.52)</f>
        <v>19.52</v>
      </c>
      <c r="F90" s="25">
        <f>IFERROR(__xludf.DUMMYFUNCTION("""COMPUTED_VALUE"""),18.82)</f>
        <v>18.82</v>
      </c>
      <c r="G90" s="25">
        <f>IFERROR(__xludf.DUMMYFUNCTION("""COMPUTED_VALUE"""),19.2)</f>
        <v>19.2</v>
      </c>
      <c r="H90" s="25">
        <f>IFERROR(__xludf.DUMMYFUNCTION("""COMPUTED_VALUE"""),4.7147526E7)</f>
        <v>47147526</v>
      </c>
      <c r="I90" s="31">
        <f t="shared" si="4"/>
        <v>19.97952381</v>
      </c>
    </row>
    <row r="91">
      <c r="C91" s="27">
        <f>IFERROR(__xludf.DUMMYFUNCTION("""COMPUTED_VALUE"""),45672.66666666667)</f>
        <v>45672.66667</v>
      </c>
      <c r="D91" s="25">
        <f>IFERROR(__xludf.DUMMYFUNCTION("""COMPUTED_VALUE"""),19.4)</f>
        <v>19.4</v>
      </c>
      <c r="E91" s="25">
        <f>IFERROR(__xludf.DUMMYFUNCTION("""COMPUTED_VALUE"""),19.77)</f>
        <v>19.77</v>
      </c>
      <c r="F91" s="25">
        <f>IFERROR(__xludf.DUMMYFUNCTION("""COMPUTED_VALUE"""),19.17)</f>
        <v>19.17</v>
      </c>
      <c r="G91" s="25">
        <f>IFERROR(__xludf.DUMMYFUNCTION("""COMPUTED_VALUE"""),19.72)</f>
        <v>19.72</v>
      </c>
      <c r="H91" s="25">
        <f>IFERROR(__xludf.DUMMYFUNCTION("""COMPUTED_VALUE"""),5.6305989E7)</f>
        <v>56305989</v>
      </c>
      <c r="I91" s="31">
        <f t="shared" si="4"/>
        <v>19.92904762</v>
      </c>
    </row>
    <row r="92">
      <c r="C92" s="27">
        <f>IFERROR(__xludf.DUMMYFUNCTION("""COMPUTED_VALUE"""),45673.66666666667)</f>
        <v>45673.66667</v>
      </c>
      <c r="D92" s="25">
        <f>IFERROR(__xludf.DUMMYFUNCTION("""COMPUTED_VALUE"""),19.75)</f>
        <v>19.75</v>
      </c>
      <c r="E92" s="25">
        <f>IFERROR(__xludf.DUMMYFUNCTION("""COMPUTED_VALUE"""),19.95)</f>
        <v>19.95</v>
      </c>
      <c r="F92" s="25">
        <f>IFERROR(__xludf.DUMMYFUNCTION("""COMPUTED_VALUE"""),19.4)</f>
        <v>19.4</v>
      </c>
      <c r="G92" s="25">
        <f>IFERROR(__xludf.DUMMYFUNCTION("""COMPUTED_VALUE"""),19.67)</f>
        <v>19.67</v>
      </c>
      <c r="H92" s="25">
        <f>IFERROR(__xludf.DUMMYFUNCTION("""COMPUTED_VALUE"""),4.4898059E7)</f>
        <v>44898059</v>
      </c>
      <c r="I92" s="31">
        <f t="shared" si="4"/>
        <v>19.89714286</v>
      </c>
      <c r="K92" s="27"/>
    </row>
    <row r="93">
      <c r="C93" s="27">
        <f>IFERROR(__xludf.DUMMYFUNCTION("""COMPUTED_VALUE"""),45674.66666666667)</f>
        <v>45674.66667</v>
      </c>
      <c r="D93" s="25">
        <f>IFERROR(__xludf.DUMMYFUNCTION("""COMPUTED_VALUE"""),21.26)</f>
        <v>21.26</v>
      </c>
      <c r="E93" s="25">
        <f>IFERROR(__xludf.DUMMYFUNCTION("""COMPUTED_VALUE"""),21.62)</f>
        <v>21.62</v>
      </c>
      <c r="F93" s="25">
        <f>IFERROR(__xludf.DUMMYFUNCTION("""COMPUTED_VALUE"""),20.79)</f>
        <v>20.79</v>
      </c>
      <c r="G93" s="25">
        <f>IFERROR(__xludf.DUMMYFUNCTION("""COMPUTED_VALUE"""),21.49)</f>
        <v>21.49</v>
      </c>
      <c r="H93" s="25">
        <f>IFERROR(__xludf.DUMMYFUNCTION("""COMPUTED_VALUE"""),1.66483914E8)</f>
        <v>166483914</v>
      </c>
      <c r="I93" s="31">
        <f t="shared" si="4"/>
        <v>19.92857143</v>
      </c>
      <c r="K93" s="27"/>
    </row>
    <row r="94">
      <c r="C94" s="27">
        <f>IFERROR(__xludf.DUMMYFUNCTION("""COMPUTED_VALUE"""),45678.66666666667)</f>
        <v>45678.66667</v>
      </c>
      <c r="D94" s="25">
        <f>IFERROR(__xludf.DUMMYFUNCTION("""COMPUTED_VALUE"""),22.03)</f>
        <v>22.03</v>
      </c>
      <c r="E94" s="25">
        <f>IFERROR(__xludf.DUMMYFUNCTION("""COMPUTED_VALUE"""),22.41)</f>
        <v>22.41</v>
      </c>
      <c r="F94" s="25">
        <f>IFERROR(__xludf.DUMMYFUNCTION("""COMPUTED_VALUE"""),21.75)</f>
        <v>21.75</v>
      </c>
      <c r="G94" s="25">
        <f>IFERROR(__xludf.DUMMYFUNCTION("""COMPUTED_VALUE"""),21.77)</f>
        <v>21.77</v>
      </c>
      <c r="H94" s="25">
        <f>IFERROR(__xludf.DUMMYFUNCTION("""COMPUTED_VALUE"""),9.6262179E7)</f>
        <v>96262179</v>
      </c>
      <c r="I94" s="31">
        <f t="shared" si="4"/>
        <v>19.99190476</v>
      </c>
      <c r="K94" s="27"/>
    </row>
    <row r="95">
      <c r="C95" s="27">
        <f>IFERROR(__xludf.DUMMYFUNCTION("""COMPUTED_VALUE"""),45679.66666666667)</f>
        <v>45679.66667</v>
      </c>
      <c r="D95" s="25">
        <f>IFERROR(__xludf.DUMMYFUNCTION("""COMPUTED_VALUE"""),21.73)</f>
        <v>21.73</v>
      </c>
      <c r="E95" s="25">
        <f>IFERROR(__xludf.DUMMYFUNCTION("""COMPUTED_VALUE"""),22.29)</f>
        <v>22.29</v>
      </c>
      <c r="F95" s="25">
        <f>IFERROR(__xludf.DUMMYFUNCTION("""COMPUTED_VALUE"""),21.57)</f>
        <v>21.57</v>
      </c>
      <c r="G95" s="25">
        <f>IFERROR(__xludf.DUMMYFUNCTION("""COMPUTED_VALUE"""),21.86)</f>
        <v>21.86</v>
      </c>
      <c r="H95" s="25">
        <f>IFERROR(__xludf.DUMMYFUNCTION("""COMPUTED_VALUE"""),6.0972578E7)</f>
        <v>60972578</v>
      </c>
      <c r="I95" s="31">
        <f t="shared" si="4"/>
        <v>20.11380952</v>
      </c>
      <c r="K95" s="27"/>
    </row>
    <row r="96">
      <c r="C96" s="27">
        <f>IFERROR(__xludf.DUMMYFUNCTION("""COMPUTED_VALUE"""),45680.66666666667)</f>
        <v>45680.66667</v>
      </c>
      <c r="D96" s="25">
        <f>IFERROR(__xludf.DUMMYFUNCTION("""COMPUTED_VALUE"""),21.69)</f>
        <v>21.69</v>
      </c>
      <c r="E96" s="25">
        <f>IFERROR(__xludf.DUMMYFUNCTION("""COMPUTED_VALUE"""),21.75)</f>
        <v>21.75</v>
      </c>
      <c r="F96" s="25">
        <f>IFERROR(__xludf.DUMMYFUNCTION("""COMPUTED_VALUE"""),21.35)</f>
        <v>21.35</v>
      </c>
      <c r="G96" s="25">
        <f>IFERROR(__xludf.DUMMYFUNCTION("""COMPUTED_VALUE"""),21.57)</f>
        <v>21.57</v>
      </c>
      <c r="H96" s="25">
        <f>IFERROR(__xludf.DUMMYFUNCTION("""COMPUTED_VALUE"""),5.5778156E7)</f>
        <v>55778156</v>
      </c>
      <c r="I96" s="31">
        <f t="shared" si="4"/>
        <v>20.23333333</v>
      </c>
      <c r="K96" s="27"/>
    </row>
    <row r="97">
      <c r="C97" s="27">
        <f>IFERROR(__xludf.DUMMYFUNCTION("""COMPUTED_VALUE"""),45681.66666666667)</f>
        <v>45681.66667</v>
      </c>
      <c r="D97" s="25">
        <f>IFERROR(__xludf.DUMMYFUNCTION("""COMPUTED_VALUE"""),21.36)</f>
        <v>21.36</v>
      </c>
      <c r="E97" s="25">
        <f>IFERROR(__xludf.DUMMYFUNCTION("""COMPUTED_VALUE"""),21.41)</f>
        <v>21.41</v>
      </c>
      <c r="F97" s="25">
        <f>IFERROR(__xludf.DUMMYFUNCTION("""COMPUTED_VALUE"""),20.75)</f>
        <v>20.75</v>
      </c>
      <c r="G97" s="25">
        <f>IFERROR(__xludf.DUMMYFUNCTION("""COMPUTED_VALUE"""),20.83)</f>
        <v>20.83</v>
      </c>
      <c r="H97" s="25">
        <f>IFERROR(__xludf.DUMMYFUNCTION("""COMPUTED_VALUE"""),6.6300614E7)</f>
        <v>66300614</v>
      </c>
      <c r="I97" s="31">
        <f t="shared" si="4"/>
        <v>20.29571429</v>
      </c>
      <c r="K97" s="27"/>
    </row>
    <row r="98">
      <c r="C98" s="27">
        <f>IFERROR(__xludf.DUMMYFUNCTION("""COMPUTED_VALUE"""),45684.66666666667)</f>
        <v>45684.66667</v>
      </c>
      <c r="D98" s="25">
        <f>IFERROR(__xludf.DUMMYFUNCTION("""COMPUTED_VALUE"""),20.81)</f>
        <v>20.81</v>
      </c>
      <c r="E98" s="25">
        <f>IFERROR(__xludf.DUMMYFUNCTION("""COMPUTED_VALUE"""),21.06)</f>
        <v>21.06</v>
      </c>
      <c r="F98" s="25">
        <f>IFERROR(__xludf.DUMMYFUNCTION("""COMPUTED_VALUE"""),20.14)</f>
        <v>20.14</v>
      </c>
      <c r="G98" s="25">
        <f>IFERROR(__xludf.DUMMYFUNCTION("""COMPUTED_VALUE"""),20.29)</f>
        <v>20.29</v>
      </c>
      <c r="H98" s="25">
        <f>IFERROR(__xludf.DUMMYFUNCTION("""COMPUTED_VALUE"""),8.3582097E7)</f>
        <v>83582097</v>
      </c>
      <c r="I98" s="31">
        <f t="shared" si="4"/>
        <v>20.3</v>
      </c>
      <c r="K98" s="27"/>
    </row>
    <row r="99">
      <c r="C99" s="27">
        <f>IFERROR(__xludf.DUMMYFUNCTION("""COMPUTED_VALUE"""),45685.66666666667)</f>
        <v>45685.66667</v>
      </c>
      <c r="D99" s="25">
        <f>IFERROR(__xludf.DUMMYFUNCTION("""COMPUTED_VALUE"""),20.34)</f>
        <v>20.34</v>
      </c>
      <c r="E99" s="25">
        <f>IFERROR(__xludf.DUMMYFUNCTION("""COMPUTED_VALUE"""),20.34)</f>
        <v>20.34</v>
      </c>
      <c r="F99" s="25">
        <f>IFERROR(__xludf.DUMMYFUNCTION("""COMPUTED_VALUE"""),19.74)</f>
        <v>19.74</v>
      </c>
      <c r="G99" s="25">
        <f>IFERROR(__xludf.DUMMYFUNCTION("""COMPUTED_VALUE"""),19.8)</f>
        <v>19.8</v>
      </c>
      <c r="H99" s="25">
        <f>IFERROR(__xludf.DUMMYFUNCTION("""COMPUTED_VALUE"""),7.3411385E7)</f>
        <v>73411385</v>
      </c>
      <c r="I99" s="31">
        <f t="shared" si="4"/>
        <v>20.27142857</v>
      </c>
      <c r="K99" s="27"/>
    </row>
    <row r="100">
      <c r="C100" s="27">
        <f>IFERROR(__xludf.DUMMYFUNCTION("""COMPUTED_VALUE"""),45686.66666666667)</f>
        <v>45686.66667</v>
      </c>
      <c r="D100" s="25">
        <f>IFERROR(__xludf.DUMMYFUNCTION("""COMPUTED_VALUE"""),19.87)</f>
        <v>19.87</v>
      </c>
      <c r="E100" s="25">
        <f>IFERROR(__xludf.DUMMYFUNCTION("""COMPUTED_VALUE"""),20.08)</f>
        <v>20.08</v>
      </c>
      <c r="F100" s="25">
        <f>IFERROR(__xludf.DUMMYFUNCTION("""COMPUTED_VALUE"""),19.66)</f>
        <v>19.66</v>
      </c>
      <c r="G100" s="25">
        <f>IFERROR(__xludf.DUMMYFUNCTION("""COMPUTED_VALUE"""),19.75)</f>
        <v>19.75</v>
      </c>
      <c r="H100" s="25">
        <f>IFERROR(__xludf.DUMMYFUNCTION("""COMPUTED_VALUE"""),8.6506821E7)</f>
        <v>86506821</v>
      </c>
      <c r="I100" s="31">
        <f t="shared" si="4"/>
        <v>20.23857143</v>
      </c>
    </row>
    <row r="101">
      <c r="C101" s="27">
        <f>IFERROR(__xludf.DUMMYFUNCTION("""COMPUTED_VALUE"""),45687.66666666667)</f>
        <v>45687.66667</v>
      </c>
      <c r="D101" s="25">
        <f>IFERROR(__xludf.DUMMYFUNCTION("""COMPUTED_VALUE"""),19.72)</f>
        <v>19.72</v>
      </c>
      <c r="E101" s="25">
        <f>IFERROR(__xludf.DUMMYFUNCTION("""COMPUTED_VALUE"""),20.1)</f>
        <v>20.1</v>
      </c>
      <c r="F101" s="25">
        <f>IFERROR(__xludf.DUMMYFUNCTION("""COMPUTED_VALUE"""),19.43)</f>
        <v>19.43</v>
      </c>
      <c r="G101" s="25">
        <f>IFERROR(__xludf.DUMMYFUNCTION("""COMPUTED_VALUE"""),20.01)</f>
        <v>20.01</v>
      </c>
      <c r="H101" s="25">
        <f>IFERROR(__xludf.DUMMYFUNCTION("""COMPUTED_VALUE"""),1.08166983E8)</f>
        <v>108166983</v>
      </c>
      <c r="I101" s="31">
        <f t="shared" si="4"/>
        <v>20.2247619</v>
      </c>
    </row>
    <row r="102">
      <c r="C102" s="27">
        <f>IFERROR(__xludf.DUMMYFUNCTION("""COMPUTED_VALUE"""),45688.66666666667)</f>
        <v>45688.66667</v>
      </c>
      <c r="D102" s="25">
        <f>IFERROR(__xludf.DUMMYFUNCTION("""COMPUTED_VALUE"""),20.1)</f>
        <v>20.1</v>
      </c>
      <c r="E102" s="25">
        <f>IFERROR(__xludf.DUMMYFUNCTION("""COMPUTED_VALUE"""),20.33)</f>
        <v>20.33</v>
      </c>
      <c r="F102" s="25">
        <f>IFERROR(__xludf.DUMMYFUNCTION("""COMPUTED_VALUE"""),19.38)</f>
        <v>19.38</v>
      </c>
      <c r="G102" s="25">
        <f>IFERROR(__xludf.DUMMYFUNCTION("""COMPUTED_VALUE"""),19.43)</f>
        <v>19.43</v>
      </c>
      <c r="H102" s="25">
        <f>IFERROR(__xludf.DUMMYFUNCTION("""COMPUTED_VALUE"""),1.17474899E8)</f>
        <v>117474899</v>
      </c>
      <c r="I102" s="31">
        <f t="shared" si="4"/>
        <v>20.20619048</v>
      </c>
    </row>
    <row r="103">
      <c r="C103" s="27">
        <f>IFERROR(__xludf.DUMMYFUNCTION("""COMPUTED_VALUE"""),45691.66666666667)</f>
        <v>45691.66667</v>
      </c>
      <c r="D103" s="25">
        <f>IFERROR(__xludf.DUMMYFUNCTION("""COMPUTED_VALUE"""),18.97)</f>
        <v>18.97</v>
      </c>
      <c r="E103" s="25">
        <f>IFERROR(__xludf.DUMMYFUNCTION("""COMPUTED_VALUE"""),19.75)</f>
        <v>19.75</v>
      </c>
      <c r="F103" s="25">
        <f>IFERROR(__xludf.DUMMYFUNCTION("""COMPUTED_VALUE"""),18.78)</f>
        <v>18.78</v>
      </c>
      <c r="G103" s="25">
        <f>IFERROR(__xludf.DUMMYFUNCTION("""COMPUTED_VALUE"""),19.38)</f>
        <v>19.38</v>
      </c>
      <c r="H103" s="25">
        <f>IFERROR(__xludf.DUMMYFUNCTION("""COMPUTED_VALUE"""),7.7523142E7)</f>
        <v>77523142</v>
      </c>
      <c r="I103" s="31">
        <f t="shared" si="4"/>
        <v>20.17428571</v>
      </c>
    </row>
    <row r="104">
      <c r="C104" s="27">
        <f>IFERROR(__xludf.DUMMYFUNCTION("""COMPUTED_VALUE"""),45692.66666666667)</f>
        <v>45692.66667</v>
      </c>
      <c r="D104" s="25">
        <f>IFERROR(__xludf.DUMMYFUNCTION("""COMPUTED_VALUE"""),19.1)</f>
        <v>19.1</v>
      </c>
      <c r="E104" s="25">
        <f>IFERROR(__xludf.DUMMYFUNCTION("""COMPUTED_VALUE"""),19.53)</f>
        <v>19.53</v>
      </c>
      <c r="F104" s="25">
        <f>IFERROR(__xludf.DUMMYFUNCTION("""COMPUTED_VALUE"""),19.02)</f>
        <v>19.02</v>
      </c>
      <c r="G104" s="25">
        <f>IFERROR(__xludf.DUMMYFUNCTION("""COMPUTED_VALUE"""),19.29)</f>
        <v>19.29</v>
      </c>
      <c r="H104" s="25">
        <f>IFERROR(__xludf.DUMMYFUNCTION("""COMPUTED_VALUE"""),5.40982E7)</f>
        <v>54098200</v>
      </c>
      <c r="I104" s="31">
        <f t="shared" si="4"/>
        <v>20.13</v>
      </c>
    </row>
    <row r="105">
      <c r="C105" s="27">
        <f>IFERROR(__xludf.DUMMYFUNCTION("""COMPUTED_VALUE"""),45693.66666666667)</f>
        <v>45693.66667</v>
      </c>
      <c r="D105" s="25">
        <f>IFERROR(__xludf.DUMMYFUNCTION("""COMPUTED_VALUE"""),19.19)</f>
        <v>19.19</v>
      </c>
      <c r="E105" s="25">
        <f>IFERROR(__xludf.DUMMYFUNCTION("""COMPUTED_VALUE"""),19.77)</f>
        <v>19.77</v>
      </c>
      <c r="F105" s="25">
        <f>IFERROR(__xludf.DUMMYFUNCTION("""COMPUTED_VALUE"""),18.91)</f>
        <v>18.91</v>
      </c>
      <c r="G105" s="25">
        <f>IFERROR(__xludf.DUMMYFUNCTION("""COMPUTED_VALUE"""),19.65)</f>
        <v>19.65</v>
      </c>
      <c r="H105" s="25">
        <f>IFERROR(__xludf.DUMMYFUNCTION("""COMPUTED_VALUE"""),6.6250254E7)</f>
        <v>66250254</v>
      </c>
      <c r="I105" s="31">
        <f t="shared" si="4"/>
        <v>20.08666667</v>
      </c>
    </row>
    <row r="106">
      <c r="C106" s="27">
        <f>IFERROR(__xludf.DUMMYFUNCTION("""COMPUTED_VALUE"""),45694.66666666667)</f>
        <v>45694.66667</v>
      </c>
      <c r="D106" s="25">
        <f>IFERROR(__xludf.DUMMYFUNCTION("""COMPUTED_VALUE"""),19.51)</f>
        <v>19.51</v>
      </c>
      <c r="E106" s="25">
        <f>IFERROR(__xludf.DUMMYFUNCTION("""COMPUTED_VALUE"""),19.7)</f>
        <v>19.7</v>
      </c>
      <c r="F106" s="25">
        <f>IFERROR(__xludf.DUMMYFUNCTION("""COMPUTED_VALUE"""),19.22)</f>
        <v>19.22</v>
      </c>
      <c r="G106" s="25">
        <f>IFERROR(__xludf.DUMMYFUNCTION("""COMPUTED_VALUE"""),19.38)</f>
        <v>19.38</v>
      </c>
      <c r="H106" s="25">
        <f>IFERROR(__xludf.DUMMYFUNCTION("""COMPUTED_VALUE"""),4.5553771E7)</f>
        <v>45553771</v>
      </c>
      <c r="I106" s="31">
        <f t="shared" si="4"/>
        <v>20.06333333</v>
      </c>
    </row>
    <row r="107">
      <c r="C107" s="27">
        <f>IFERROR(__xludf.DUMMYFUNCTION("""COMPUTED_VALUE"""),45695.66666666667)</f>
        <v>45695.66667</v>
      </c>
      <c r="D107" s="25">
        <f>IFERROR(__xludf.DUMMYFUNCTION("""COMPUTED_VALUE"""),19.35)</f>
        <v>19.35</v>
      </c>
      <c r="E107" s="25">
        <f>IFERROR(__xludf.DUMMYFUNCTION("""COMPUTED_VALUE"""),19.36)</f>
        <v>19.36</v>
      </c>
      <c r="F107" s="25">
        <f>IFERROR(__xludf.DUMMYFUNCTION("""COMPUTED_VALUE"""),19.03)</f>
        <v>19.03</v>
      </c>
      <c r="G107" s="25">
        <f>IFERROR(__xludf.DUMMYFUNCTION("""COMPUTED_VALUE"""),19.1)</f>
        <v>19.1</v>
      </c>
      <c r="H107" s="25">
        <f>IFERROR(__xludf.DUMMYFUNCTION("""COMPUTED_VALUE"""),5.8277917E7)</f>
        <v>58277917</v>
      </c>
      <c r="I107" s="31">
        <f t="shared" si="4"/>
        <v>20.02</v>
      </c>
    </row>
    <row r="108">
      <c r="C108" s="27">
        <f>IFERROR(__xludf.DUMMYFUNCTION("""COMPUTED_VALUE"""),45698.66666666667)</f>
        <v>45698.66667</v>
      </c>
      <c r="D108" s="25">
        <f>IFERROR(__xludf.DUMMYFUNCTION("""COMPUTED_VALUE"""),19.25)</f>
        <v>19.25</v>
      </c>
      <c r="E108" s="25">
        <f>IFERROR(__xludf.DUMMYFUNCTION("""COMPUTED_VALUE"""),20.08)</f>
        <v>20.08</v>
      </c>
      <c r="F108" s="25">
        <f>IFERROR(__xludf.DUMMYFUNCTION("""COMPUTED_VALUE"""),19.24)</f>
        <v>19.24</v>
      </c>
      <c r="G108" s="25">
        <f>IFERROR(__xludf.DUMMYFUNCTION("""COMPUTED_VALUE"""),19.77)</f>
        <v>19.77</v>
      </c>
      <c r="H108" s="25">
        <f>IFERROR(__xludf.DUMMYFUNCTION("""COMPUTED_VALUE"""),7.3007266E7)</f>
        <v>73007266</v>
      </c>
      <c r="I108" s="31">
        <f t="shared" si="4"/>
        <v>20.0147619</v>
      </c>
    </row>
    <row r="109">
      <c r="C109" s="27">
        <f>IFERROR(__xludf.DUMMYFUNCTION("""COMPUTED_VALUE"""),45699.66666666667)</f>
        <v>45699.66667</v>
      </c>
      <c r="D109" s="25">
        <f>IFERROR(__xludf.DUMMYFUNCTION("""COMPUTED_VALUE"""),19.87)</f>
        <v>19.87</v>
      </c>
      <c r="E109" s="25">
        <f>IFERROR(__xludf.DUMMYFUNCTION("""COMPUTED_VALUE"""),21.88)</f>
        <v>21.88</v>
      </c>
      <c r="F109" s="25">
        <f>IFERROR(__xludf.DUMMYFUNCTION("""COMPUTED_VALUE"""),19.86)</f>
        <v>19.86</v>
      </c>
      <c r="G109" s="25">
        <f>IFERROR(__xludf.DUMMYFUNCTION("""COMPUTED_VALUE"""),20.97)</f>
        <v>20.97</v>
      </c>
      <c r="H109" s="25">
        <f>IFERROR(__xludf.DUMMYFUNCTION("""COMPUTED_VALUE"""),1.50960704E8)</f>
        <v>150960704</v>
      </c>
      <c r="I109" s="31">
        <f t="shared" si="4"/>
        <v>20.10142857</v>
      </c>
    </row>
    <row r="110">
      <c r="C110" s="27">
        <f>IFERROR(__xludf.DUMMYFUNCTION("""COMPUTED_VALUE"""),45700.66666666667)</f>
        <v>45700.66667</v>
      </c>
      <c r="D110" s="25">
        <f>IFERROR(__xludf.DUMMYFUNCTION("""COMPUTED_VALUE"""),21.98)</f>
        <v>21.98</v>
      </c>
      <c r="E110" s="25">
        <f>IFERROR(__xludf.DUMMYFUNCTION("""COMPUTED_VALUE"""),22.56)</f>
        <v>22.56</v>
      </c>
      <c r="F110" s="25">
        <f>IFERROR(__xludf.DUMMYFUNCTION("""COMPUTED_VALUE"""),20.93)</f>
        <v>20.93</v>
      </c>
      <c r="G110" s="25">
        <f>IFERROR(__xludf.DUMMYFUNCTION("""COMPUTED_VALUE"""),22.48)</f>
        <v>22.48</v>
      </c>
      <c r="H110" s="25">
        <f>IFERROR(__xludf.DUMMYFUNCTION("""COMPUTED_VALUE"""),1.62631182E8)</f>
        <v>162631182</v>
      </c>
      <c r="I110" s="31">
        <f t="shared" si="4"/>
        <v>20.25761905</v>
      </c>
    </row>
    <row r="111">
      <c r="C111" s="27">
        <f>IFERROR(__xludf.DUMMYFUNCTION("""COMPUTED_VALUE"""),45701.66666666667)</f>
        <v>45701.66667</v>
      </c>
      <c r="D111" s="25">
        <f>IFERROR(__xludf.DUMMYFUNCTION("""COMPUTED_VALUE"""),22.84)</f>
        <v>22.84</v>
      </c>
      <c r="E111" s="25">
        <f>IFERROR(__xludf.DUMMYFUNCTION("""COMPUTED_VALUE"""),24.83)</f>
        <v>24.83</v>
      </c>
      <c r="F111" s="25">
        <f>IFERROR(__xludf.DUMMYFUNCTION("""COMPUTED_VALUE"""),22.79)</f>
        <v>22.79</v>
      </c>
      <c r="G111" s="25">
        <f>IFERROR(__xludf.DUMMYFUNCTION("""COMPUTED_VALUE"""),24.13)</f>
        <v>24.13</v>
      </c>
      <c r="H111" s="25">
        <f>IFERROR(__xludf.DUMMYFUNCTION("""COMPUTED_VALUE"""),2.48661333E8)</f>
        <v>248661333</v>
      </c>
      <c r="I111" s="31">
        <f t="shared" si="4"/>
        <v>20.49238095</v>
      </c>
    </row>
    <row r="112">
      <c r="C112" s="27">
        <f>IFERROR(__xludf.DUMMYFUNCTION("""COMPUTED_VALUE"""),45702.66666666667)</f>
        <v>45702.66667</v>
      </c>
      <c r="D112" s="25">
        <f>IFERROR(__xludf.DUMMYFUNCTION("""COMPUTED_VALUE"""),24.36)</f>
        <v>24.36</v>
      </c>
      <c r="E112" s="25">
        <f>IFERROR(__xludf.DUMMYFUNCTION("""COMPUTED_VALUE"""),25.19)</f>
        <v>25.19</v>
      </c>
      <c r="F112" s="25">
        <f>IFERROR(__xludf.DUMMYFUNCTION("""COMPUTED_VALUE"""),22.86)</f>
        <v>22.86</v>
      </c>
      <c r="G112" s="25">
        <f>IFERROR(__xludf.DUMMYFUNCTION("""COMPUTED_VALUE"""),23.6)</f>
        <v>23.6</v>
      </c>
      <c r="H112" s="25">
        <f>IFERROR(__xludf.DUMMYFUNCTION("""COMPUTED_VALUE"""),2.30254092E8)</f>
        <v>230254092</v>
      </c>
      <c r="I112" s="31">
        <f t="shared" si="4"/>
        <v>20.67714286</v>
      </c>
    </row>
    <row r="113">
      <c r="C113" s="27">
        <f>IFERROR(__xludf.DUMMYFUNCTION("""COMPUTED_VALUE"""),45706.66666666667)</f>
        <v>45706.66667</v>
      </c>
      <c r="D113" s="25">
        <f>IFERROR(__xludf.DUMMYFUNCTION("""COMPUTED_VALUE"""),24.6)</f>
        <v>24.6</v>
      </c>
      <c r="E113" s="25">
        <f>IFERROR(__xludf.DUMMYFUNCTION("""COMPUTED_VALUE"""),27.55)</f>
        <v>27.55</v>
      </c>
      <c r="F113" s="25">
        <f>IFERROR(__xludf.DUMMYFUNCTION("""COMPUTED_VALUE"""),24.49)</f>
        <v>24.49</v>
      </c>
      <c r="G113" s="25">
        <f>IFERROR(__xludf.DUMMYFUNCTION("""COMPUTED_VALUE"""),27.39)</f>
        <v>27.39</v>
      </c>
      <c r="H113" s="25">
        <f>IFERROR(__xludf.DUMMYFUNCTION("""COMPUTED_VALUE"""),2.8429221E8)</f>
        <v>284292210</v>
      </c>
      <c r="I113" s="31">
        <f t="shared" si="4"/>
        <v>21.0447619</v>
      </c>
    </row>
    <row r="114">
      <c r="C114" s="27">
        <f>IFERROR(__xludf.DUMMYFUNCTION("""COMPUTED_VALUE"""),45707.66666666667)</f>
        <v>45707.66667</v>
      </c>
      <c r="D114" s="25">
        <f>IFERROR(__xludf.DUMMYFUNCTION("""COMPUTED_VALUE"""),25.98)</f>
        <v>25.98</v>
      </c>
      <c r="E114" s="25">
        <f>IFERROR(__xludf.DUMMYFUNCTION("""COMPUTED_VALUE"""),26.33)</f>
        <v>26.33</v>
      </c>
      <c r="F114" s="25">
        <f>IFERROR(__xludf.DUMMYFUNCTION("""COMPUTED_VALUE"""),25.46)</f>
        <v>25.46</v>
      </c>
      <c r="G114" s="25">
        <f>IFERROR(__xludf.DUMMYFUNCTION("""COMPUTED_VALUE"""),25.72)</f>
        <v>25.72</v>
      </c>
      <c r="H114" s="25">
        <f>IFERROR(__xludf.DUMMYFUNCTION("""COMPUTED_VALUE"""),1.51881727E8)</f>
        <v>151881727</v>
      </c>
      <c r="I114" s="31">
        <f t="shared" si="4"/>
        <v>21.24619048</v>
      </c>
    </row>
    <row r="115">
      <c r="C115" s="27">
        <f>IFERROR(__xludf.DUMMYFUNCTION("""COMPUTED_VALUE"""),45708.66666666667)</f>
        <v>45708.66667</v>
      </c>
      <c r="D115" s="25">
        <f>IFERROR(__xludf.DUMMYFUNCTION("""COMPUTED_VALUE"""),25.56)</f>
        <v>25.56</v>
      </c>
      <c r="E115" s="25">
        <f>IFERROR(__xludf.DUMMYFUNCTION("""COMPUTED_VALUE"""),26.12)</f>
        <v>26.12</v>
      </c>
      <c r="F115" s="25">
        <f>IFERROR(__xludf.DUMMYFUNCTION("""COMPUTED_VALUE"""),24.48)</f>
        <v>24.48</v>
      </c>
      <c r="G115" s="25">
        <f>IFERROR(__xludf.DUMMYFUNCTION("""COMPUTED_VALUE"""),26.09)</f>
        <v>26.09</v>
      </c>
      <c r="H115" s="25">
        <f>IFERROR(__xludf.DUMMYFUNCTION("""COMPUTED_VALUE"""),1.44939566E8)</f>
        <v>144939566</v>
      </c>
      <c r="I115" s="31">
        <f t="shared" si="4"/>
        <v>21.45190476</v>
      </c>
    </row>
    <row r="116">
      <c r="C116" s="27">
        <f>IFERROR(__xludf.DUMMYFUNCTION("""COMPUTED_VALUE"""),45709.66666666667)</f>
        <v>45709.66667</v>
      </c>
      <c r="D116" s="25">
        <f>IFERROR(__xludf.DUMMYFUNCTION("""COMPUTED_VALUE"""),25.96)</f>
        <v>25.96</v>
      </c>
      <c r="E116" s="25">
        <f>IFERROR(__xludf.DUMMYFUNCTION("""COMPUTED_VALUE"""),26.29)</f>
        <v>26.29</v>
      </c>
      <c r="F116" s="25">
        <f>IFERROR(__xludf.DUMMYFUNCTION("""COMPUTED_VALUE"""),24.84)</f>
        <v>24.84</v>
      </c>
      <c r="G116" s="25">
        <f>IFERROR(__xludf.DUMMYFUNCTION("""COMPUTED_VALUE"""),24.87)</f>
        <v>24.87</v>
      </c>
      <c r="H116" s="25">
        <f>IFERROR(__xludf.DUMMYFUNCTION("""COMPUTED_VALUE"""),1.11630859E8)</f>
        <v>111630859</v>
      </c>
      <c r="I116" s="31">
        <f t="shared" si="4"/>
        <v>21.5952381</v>
      </c>
    </row>
    <row r="117">
      <c r="C117" s="27">
        <f>IFERROR(__xludf.DUMMYFUNCTION("""COMPUTED_VALUE"""),45712.66666666667)</f>
        <v>45712.66667</v>
      </c>
      <c r="D117" s="25">
        <f>IFERROR(__xludf.DUMMYFUNCTION("""COMPUTED_VALUE"""),24.55)</f>
        <v>24.55</v>
      </c>
      <c r="E117" s="25">
        <f>IFERROR(__xludf.DUMMYFUNCTION("""COMPUTED_VALUE"""),24.8)</f>
        <v>24.8</v>
      </c>
      <c r="F117" s="25">
        <f>IFERROR(__xludf.DUMMYFUNCTION("""COMPUTED_VALUE"""),23.62)</f>
        <v>23.62</v>
      </c>
      <c r="G117" s="25">
        <f>IFERROR(__xludf.DUMMYFUNCTION("""COMPUTED_VALUE"""),24.27)</f>
        <v>24.27</v>
      </c>
      <c r="H117" s="25">
        <f>IFERROR(__xludf.DUMMYFUNCTION("""COMPUTED_VALUE"""),9.1358071E7)</f>
        <v>91358071</v>
      </c>
      <c r="I117" s="31">
        <f t="shared" si="4"/>
        <v>21.72380952</v>
      </c>
    </row>
    <row r="118">
      <c r="C118" s="27">
        <f>IFERROR(__xludf.DUMMYFUNCTION("""COMPUTED_VALUE"""),45713.66666666667)</f>
        <v>45713.66667</v>
      </c>
      <c r="D118" s="25">
        <f>IFERROR(__xludf.DUMMYFUNCTION("""COMPUTED_VALUE"""),24.21)</f>
        <v>24.21</v>
      </c>
      <c r="E118" s="25">
        <f>IFERROR(__xludf.DUMMYFUNCTION("""COMPUTED_VALUE"""),24.28)</f>
        <v>24.28</v>
      </c>
      <c r="F118" s="25">
        <f>IFERROR(__xludf.DUMMYFUNCTION("""COMPUTED_VALUE"""),22.77)</f>
        <v>22.77</v>
      </c>
      <c r="G118" s="25">
        <f>IFERROR(__xludf.DUMMYFUNCTION("""COMPUTED_VALUE"""),22.99)</f>
        <v>22.99</v>
      </c>
      <c r="H118" s="25">
        <f>IFERROR(__xludf.DUMMYFUNCTION("""COMPUTED_VALUE"""),8.8886469E7)</f>
        <v>88886469</v>
      </c>
      <c r="I118" s="31">
        <f t="shared" si="4"/>
        <v>21.82666667</v>
      </c>
    </row>
    <row r="119">
      <c r="C119" s="27">
        <f>IFERROR(__xludf.DUMMYFUNCTION("""COMPUTED_VALUE"""),45714.66666666667)</f>
        <v>45714.66667</v>
      </c>
      <c r="D119" s="25">
        <f>IFERROR(__xludf.DUMMYFUNCTION("""COMPUTED_VALUE"""),23.25)</f>
        <v>23.25</v>
      </c>
      <c r="E119" s="25">
        <f>IFERROR(__xludf.DUMMYFUNCTION("""COMPUTED_VALUE"""),23.82)</f>
        <v>23.82</v>
      </c>
      <c r="F119" s="25">
        <f>IFERROR(__xludf.DUMMYFUNCTION("""COMPUTED_VALUE"""),23.21)</f>
        <v>23.21</v>
      </c>
      <c r="G119" s="25">
        <f>IFERROR(__xludf.DUMMYFUNCTION("""COMPUTED_VALUE"""),23.52)</f>
        <v>23.52</v>
      </c>
      <c r="H119" s="25">
        <f>IFERROR(__xludf.DUMMYFUNCTION("""COMPUTED_VALUE"""),6.7449304E7)</f>
        <v>67449304</v>
      </c>
      <c r="I119" s="31">
        <f t="shared" si="4"/>
        <v>21.98047619</v>
      </c>
    </row>
    <row r="120">
      <c r="C120" s="27">
        <f>IFERROR(__xludf.DUMMYFUNCTION("""COMPUTED_VALUE"""),45715.66666666667)</f>
        <v>45715.66667</v>
      </c>
      <c r="D120" s="25">
        <f>IFERROR(__xludf.DUMMYFUNCTION("""COMPUTED_VALUE"""),23.7)</f>
        <v>23.7</v>
      </c>
      <c r="E120" s="25">
        <f>IFERROR(__xludf.DUMMYFUNCTION("""COMPUTED_VALUE"""),24.4)</f>
        <v>24.4</v>
      </c>
      <c r="F120" s="25">
        <f>IFERROR(__xludf.DUMMYFUNCTION("""COMPUTED_VALUE"""),23.07)</f>
        <v>23.07</v>
      </c>
      <c r="G120" s="25">
        <f>IFERROR(__xludf.DUMMYFUNCTION("""COMPUTED_VALUE"""),23.09)</f>
        <v>23.09</v>
      </c>
      <c r="H120" s="25">
        <f>IFERROR(__xludf.DUMMYFUNCTION("""COMPUTED_VALUE"""),9.7871945E7)</f>
        <v>97871945</v>
      </c>
      <c r="I120" s="31">
        <f t="shared" si="4"/>
        <v>22.13714286</v>
      </c>
    </row>
    <row r="121">
      <c r="C121" s="27">
        <f>IFERROR(__xludf.DUMMYFUNCTION("""COMPUTED_VALUE"""),45716.66666666667)</f>
        <v>45716.66667</v>
      </c>
      <c r="D121" s="25">
        <f>IFERROR(__xludf.DUMMYFUNCTION("""COMPUTED_VALUE"""),23.02)</f>
        <v>23.02</v>
      </c>
      <c r="E121" s="25">
        <f>IFERROR(__xludf.DUMMYFUNCTION("""COMPUTED_VALUE"""),24.44)</f>
        <v>24.44</v>
      </c>
      <c r="F121" s="25">
        <f>IFERROR(__xludf.DUMMYFUNCTION("""COMPUTED_VALUE"""),22.64)</f>
        <v>22.64</v>
      </c>
      <c r="G121" s="25">
        <f>IFERROR(__xludf.DUMMYFUNCTION("""COMPUTED_VALUE"""),23.73)</f>
        <v>23.73</v>
      </c>
      <c r="H121" s="25">
        <f>IFERROR(__xludf.DUMMYFUNCTION("""COMPUTED_VALUE"""),1.04133777E8)</f>
        <v>104133777</v>
      </c>
      <c r="I121" s="31">
        <f t="shared" si="4"/>
        <v>22.32666667</v>
      </c>
    </row>
    <row r="122">
      <c r="C122" s="27">
        <f>IFERROR(__xludf.DUMMYFUNCTION("""COMPUTED_VALUE"""),45719.66666666667)</f>
        <v>45719.66667</v>
      </c>
      <c r="D122" s="25">
        <f>IFERROR(__xludf.DUMMYFUNCTION("""COMPUTED_VALUE"""),25.0)</f>
        <v>25</v>
      </c>
      <c r="E122" s="25">
        <f>IFERROR(__xludf.DUMMYFUNCTION("""COMPUTED_VALUE"""),25.04)</f>
        <v>25.04</v>
      </c>
      <c r="F122" s="25">
        <f>IFERROR(__xludf.DUMMYFUNCTION("""COMPUTED_VALUE"""),22.52)</f>
        <v>22.52</v>
      </c>
      <c r="G122" s="25">
        <f>IFERROR(__xludf.DUMMYFUNCTION("""COMPUTED_VALUE"""),22.74)</f>
        <v>22.74</v>
      </c>
      <c r="H122" s="25">
        <f>IFERROR(__xludf.DUMMYFUNCTION("""COMPUTED_VALUE"""),1.41348692E8)</f>
        <v>141348692</v>
      </c>
      <c r="I122" s="31">
        <f t="shared" si="4"/>
        <v>22.45666667</v>
      </c>
    </row>
    <row r="123">
      <c r="C123" s="27">
        <f>IFERROR(__xludf.DUMMYFUNCTION("""COMPUTED_VALUE"""),45720.66666666667)</f>
        <v>45720.66667</v>
      </c>
      <c r="D123" s="25">
        <f>IFERROR(__xludf.DUMMYFUNCTION("""COMPUTED_VALUE"""),22.54)</f>
        <v>22.54</v>
      </c>
      <c r="E123" s="25">
        <f>IFERROR(__xludf.DUMMYFUNCTION("""COMPUTED_VALUE"""),22.63)</f>
        <v>22.63</v>
      </c>
      <c r="F123" s="25">
        <f>IFERROR(__xludf.DUMMYFUNCTION("""COMPUTED_VALUE"""),20.76)</f>
        <v>20.76</v>
      </c>
      <c r="G123" s="25">
        <f>IFERROR(__xludf.DUMMYFUNCTION("""COMPUTED_VALUE"""),21.33)</f>
        <v>21.33</v>
      </c>
      <c r="H123" s="25">
        <f>IFERROR(__xludf.DUMMYFUNCTION("""COMPUTED_VALUE"""),1.521822E8)</f>
        <v>152182200</v>
      </c>
      <c r="I123" s="31">
        <f t="shared" si="4"/>
        <v>22.54714286</v>
      </c>
    </row>
    <row r="124">
      <c r="C124" s="27">
        <f>IFERROR(__xludf.DUMMYFUNCTION("""COMPUTED_VALUE"""),45721.66666666667)</f>
        <v>45721.66667</v>
      </c>
      <c r="D124" s="25">
        <f>IFERROR(__xludf.DUMMYFUNCTION("""COMPUTED_VALUE"""),21.33)</f>
        <v>21.33</v>
      </c>
      <c r="E124" s="25">
        <f>IFERROR(__xludf.DUMMYFUNCTION("""COMPUTED_VALUE"""),21.36)</f>
        <v>21.36</v>
      </c>
      <c r="F124" s="25">
        <f>IFERROR(__xludf.DUMMYFUNCTION("""COMPUTED_VALUE"""),20.18)</f>
        <v>20.18</v>
      </c>
      <c r="G124" s="25">
        <f>IFERROR(__xludf.DUMMYFUNCTION("""COMPUTED_VALUE"""),20.81)</f>
        <v>20.81</v>
      </c>
      <c r="H124" s="25">
        <f>IFERROR(__xludf.DUMMYFUNCTION("""COMPUTED_VALUE"""),1.27219259E8)</f>
        <v>127219259</v>
      </c>
      <c r="I124" s="31">
        <f t="shared" si="4"/>
        <v>22.6152381</v>
      </c>
    </row>
    <row r="125">
      <c r="C125" s="27">
        <f>IFERROR(__xludf.DUMMYFUNCTION("""COMPUTED_VALUE"""),45722.66666666667)</f>
        <v>45722.66667</v>
      </c>
      <c r="D125" s="25">
        <f>IFERROR(__xludf.DUMMYFUNCTION("""COMPUTED_VALUE"""),20.26)</f>
        <v>20.26</v>
      </c>
      <c r="E125" s="25">
        <f>IFERROR(__xludf.DUMMYFUNCTION("""COMPUTED_VALUE"""),21.13)</f>
        <v>21.13</v>
      </c>
      <c r="F125" s="25">
        <f>IFERROR(__xludf.DUMMYFUNCTION("""COMPUTED_VALUE"""),20.0)</f>
        <v>20</v>
      </c>
      <c r="G125" s="25">
        <f>IFERROR(__xludf.DUMMYFUNCTION("""COMPUTED_VALUE"""),20.75)</f>
        <v>20.75</v>
      </c>
      <c r="H125" s="25">
        <f>IFERROR(__xludf.DUMMYFUNCTION("""COMPUTED_VALUE"""),9.6466381E7)</f>
        <v>96466381</v>
      </c>
      <c r="I125" s="31">
        <f t="shared" si="4"/>
        <v>22.6847619</v>
      </c>
    </row>
    <row r="126">
      <c r="C126" s="27">
        <f>IFERROR(__xludf.DUMMYFUNCTION("""COMPUTED_VALUE"""),45723.66666666667)</f>
        <v>45723.66667</v>
      </c>
      <c r="D126" s="25">
        <f>IFERROR(__xludf.DUMMYFUNCTION("""COMPUTED_VALUE"""),20.27)</f>
        <v>20.27</v>
      </c>
      <c r="E126" s="25">
        <f>IFERROR(__xludf.DUMMYFUNCTION("""COMPUTED_VALUE"""),21.2)</f>
        <v>21.2</v>
      </c>
      <c r="F126" s="25">
        <f>IFERROR(__xludf.DUMMYFUNCTION("""COMPUTED_VALUE"""),20.11)</f>
        <v>20.11</v>
      </c>
      <c r="G126" s="25">
        <f>IFERROR(__xludf.DUMMYFUNCTION("""COMPUTED_VALUE"""),20.64)</f>
        <v>20.64</v>
      </c>
      <c r="H126" s="25">
        <f>IFERROR(__xludf.DUMMYFUNCTION("""COMPUTED_VALUE"""),8.1099646E7)</f>
        <v>81099646</v>
      </c>
      <c r="I126" s="31">
        <f t="shared" si="4"/>
        <v>22.73190476</v>
      </c>
    </row>
    <row r="127">
      <c r="C127" s="27">
        <f>IFERROR(__xludf.DUMMYFUNCTION("""COMPUTED_VALUE"""),45726.66666666667)</f>
        <v>45726.66667</v>
      </c>
      <c r="D127" s="25">
        <f>IFERROR(__xludf.DUMMYFUNCTION("""COMPUTED_VALUE"""),20.24)</f>
        <v>20.24</v>
      </c>
      <c r="E127" s="25">
        <f>IFERROR(__xludf.DUMMYFUNCTION("""COMPUTED_VALUE"""),20.51)</f>
        <v>20.51</v>
      </c>
      <c r="F127" s="25">
        <f>IFERROR(__xludf.DUMMYFUNCTION("""COMPUTED_VALUE"""),19.65)</f>
        <v>19.65</v>
      </c>
      <c r="G127" s="25">
        <f>IFERROR(__xludf.DUMMYFUNCTION("""COMPUTED_VALUE"""),19.93)</f>
        <v>19.93</v>
      </c>
      <c r="H127" s="25">
        <f>IFERROR(__xludf.DUMMYFUNCTION("""COMPUTED_VALUE"""),8.2760577E7)</f>
        <v>82760577</v>
      </c>
      <c r="I127" s="31">
        <f t="shared" si="4"/>
        <v>22.75809524</v>
      </c>
    </row>
    <row r="128">
      <c r="C128" s="27">
        <f>IFERROR(__xludf.DUMMYFUNCTION("""COMPUTED_VALUE"""),45727.66666666667)</f>
        <v>45727.66667</v>
      </c>
      <c r="D128" s="25">
        <f>IFERROR(__xludf.DUMMYFUNCTION("""COMPUTED_VALUE"""),19.97)</f>
        <v>19.97</v>
      </c>
      <c r="E128" s="25">
        <f>IFERROR(__xludf.DUMMYFUNCTION("""COMPUTED_VALUE"""),20.06)</f>
        <v>20.06</v>
      </c>
      <c r="F128" s="25">
        <f>IFERROR(__xludf.DUMMYFUNCTION("""COMPUTED_VALUE"""),19.29)</f>
        <v>19.29</v>
      </c>
      <c r="G128" s="25">
        <f>IFERROR(__xludf.DUMMYFUNCTION("""COMPUTED_VALUE"""),19.78)</f>
        <v>19.78</v>
      </c>
      <c r="H128" s="25">
        <f>IFERROR(__xludf.DUMMYFUNCTION("""COMPUTED_VALUE"""),8.0788985E7)</f>
        <v>80788985</v>
      </c>
      <c r="I128" s="31">
        <f t="shared" si="4"/>
        <v>22.79047619</v>
      </c>
    </row>
    <row r="129">
      <c r="C129" s="27">
        <f>IFERROR(__xludf.DUMMYFUNCTION("""COMPUTED_VALUE"""),45728.66666666667)</f>
        <v>45728.66667</v>
      </c>
      <c r="D129" s="25">
        <f>IFERROR(__xludf.DUMMYFUNCTION("""COMPUTED_VALUE"""),20.79)</f>
        <v>20.79</v>
      </c>
      <c r="E129" s="25">
        <f>IFERROR(__xludf.DUMMYFUNCTION("""COMPUTED_VALUE"""),21.17)</f>
        <v>21.17</v>
      </c>
      <c r="F129" s="25">
        <f>IFERROR(__xludf.DUMMYFUNCTION("""COMPUTED_VALUE"""),20.21)</f>
        <v>20.21</v>
      </c>
      <c r="G129" s="25">
        <f>IFERROR(__xludf.DUMMYFUNCTION("""COMPUTED_VALUE"""),20.68)</f>
        <v>20.68</v>
      </c>
      <c r="H129" s="25">
        <f>IFERROR(__xludf.DUMMYFUNCTION("""COMPUTED_VALUE"""),1.28671089E8)</f>
        <v>128671089</v>
      </c>
      <c r="I129" s="31">
        <f t="shared" si="4"/>
        <v>22.83380952</v>
      </c>
    </row>
    <row r="130">
      <c r="C130" s="27">
        <f>IFERROR(__xludf.DUMMYFUNCTION("""COMPUTED_VALUE"""),45729.66666666667)</f>
        <v>45729.66667</v>
      </c>
      <c r="D130" s="25">
        <f>IFERROR(__xludf.DUMMYFUNCTION("""COMPUTED_VALUE"""),23.5)</f>
        <v>23.5</v>
      </c>
      <c r="E130" s="25">
        <f>IFERROR(__xludf.DUMMYFUNCTION("""COMPUTED_VALUE"""),24.53)</f>
        <v>24.53</v>
      </c>
      <c r="F130" s="25">
        <f>IFERROR(__xludf.DUMMYFUNCTION("""COMPUTED_VALUE"""),23.13)</f>
        <v>23.13</v>
      </c>
      <c r="G130" s="25">
        <f>IFERROR(__xludf.DUMMYFUNCTION("""COMPUTED_VALUE"""),23.7)</f>
        <v>23.7</v>
      </c>
      <c r="H130" s="25">
        <f>IFERROR(__xludf.DUMMYFUNCTION("""COMPUTED_VALUE"""),2.43260993E8)</f>
        <v>243260993</v>
      </c>
      <c r="I130" s="31">
        <f t="shared" si="4"/>
        <v>22.96380952</v>
      </c>
    </row>
    <row r="131">
      <c r="C131" s="27">
        <f>IFERROR(__xludf.DUMMYFUNCTION("""COMPUTED_VALUE"""),45730.66666666667)</f>
        <v>45730.66667</v>
      </c>
      <c r="D131" s="25">
        <f>IFERROR(__xludf.DUMMYFUNCTION("""COMPUTED_VALUE"""),23.68)</f>
        <v>23.68</v>
      </c>
      <c r="E131" s="25">
        <f>IFERROR(__xludf.DUMMYFUNCTION("""COMPUTED_VALUE"""),24.37)</f>
        <v>24.37</v>
      </c>
      <c r="F131" s="25">
        <f>IFERROR(__xludf.DUMMYFUNCTION("""COMPUTED_VALUE"""),23.52)</f>
        <v>23.52</v>
      </c>
      <c r="G131" s="25">
        <f>IFERROR(__xludf.DUMMYFUNCTION("""COMPUTED_VALUE"""),24.05)</f>
        <v>24.05</v>
      </c>
      <c r="H131" s="25">
        <f>IFERROR(__xludf.DUMMYFUNCTION("""COMPUTED_VALUE"""),1.16901643E8)</f>
        <v>116901643</v>
      </c>
      <c r="I131" s="31">
        <f t="shared" si="4"/>
        <v>23.03857143</v>
      </c>
    </row>
    <row r="132">
      <c r="C132" s="27">
        <f>IFERROR(__xludf.DUMMYFUNCTION("""COMPUTED_VALUE"""),45733.66666666667)</f>
        <v>45733.66667</v>
      </c>
      <c r="D132" s="25">
        <f>IFERROR(__xludf.DUMMYFUNCTION("""COMPUTED_VALUE"""),24.42)</f>
        <v>24.42</v>
      </c>
      <c r="E132" s="25">
        <f>IFERROR(__xludf.DUMMYFUNCTION("""COMPUTED_VALUE"""),26.15)</f>
        <v>26.15</v>
      </c>
      <c r="F132" s="25">
        <f>IFERROR(__xludf.DUMMYFUNCTION("""COMPUTED_VALUE"""),24.37)</f>
        <v>24.37</v>
      </c>
      <c r="G132" s="25">
        <f>IFERROR(__xludf.DUMMYFUNCTION("""COMPUTED_VALUE"""),25.69)</f>
        <v>25.69</v>
      </c>
      <c r="H132" s="25">
        <f>IFERROR(__xludf.DUMMYFUNCTION("""COMPUTED_VALUE"""),1.60723633E8)</f>
        <v>160723633</v>
      </c>
      <c r="I132" s="31">
        <f t="shared" si="4"/>
        <v>23.11285714</v>
      </c>
    </row>
    <row r="133">
      <c r="C133" s="27">
        <f>IFERROR(__xludf.DUMMYFUNCTION("""COMPUTED_VALUE"""),45734.66666666667)</f>
        <v>45734.66667</v>
      </c>
      <c r="D133" s="25">
        <f>IFERROR(__xludf.DUMMYFUNCTION("""COMPUTED_VALUE"""),25.55)</f>
        <v>25.55</v>
      </c>
      <c r="E133" s="25">
        <f>IFERROR(__xludf.DUMMYFUNCTION("""COMPUTED_VALUE"""),26.41)</f>
        <v>26.41</v>
      </c>
      <c r="F133" s="25">
        <f>IFERROR(__xludf.DUMMYFUNCTION("""COMPUTED_VALUE"""),25.39)</f>
        <v>25.39</v>
      </c>
      <c r="G133" s="25">
        <f>IFERROR(__xludf.DUMMYFUNCTION("""COMPUTED_VALUE"""),25.92)</f>
        <v>25.92</v>
      </c>
      <c r="H133" s="25">
        <f>IFERROR(__xludf.DUMMYFUNCTION("""COMPUTED_VALUE"""),1.32488822E8)</f>
        <v>132488822</v>
      </c>
      <c r="I133" s="31">
        <f t="shared" si="4"/>
        <v>23.22333333</v>
      </c>
    </row>
    <row r="134">
      <c r="C134" s="27">
        <f>IFERROR(__xludf.DUMMYFUNCTION("""COMPUTED_VALUE"""),45735.66666666667)</f>
        <v>45735.66667</v>
      </c>
      <c r="D134" s="25">
        <f>IFERROR(__xludf.DUMMYFUNCTION("""COMPUTED_VALUE"""),24.9)</f>
        <v>24.9</v>
      </c>
      <c r="E134" s="25">
        <f>IFERROR(__xludf.DUMMYFUNCTION("""COMPUTED_VALUE"""),25.23)</f>
        <v>25.23</v>
      </c>
      <c r="F134" s="25">
        <f>IFERROR(__xludf.DUMMYFUNCTION("""COMPUTED_VALUE"""),24.03)</f>
        <v>24.03</v>
      </c>
      <c r="G134" s="25">
        <f>IFERROR(__xludf.DUMMYFUNCTION("""COMPUTED_VALUE"""),24.12)</f>
        <v>24.12</v>
      </c>
      <c r="H134" s="25">
        <f>IFERROR(__xludf.DUMMYFUNCTION("""COMPUTED_VALUE"""),1.35491427E8)</f>
        <v>135491427</v>
      </c>
      <c r="I134" s="31">
        <f t="shared" si="4"/>
        <v>23.06761905</v>
      </c>
    </row>
    <row r="135">
      <c r="C135" s="27">
        <f>IFERROR(__xludf.DUMMYFUNCTION("""COMPUTED_VALUE"""),45736.66666666667)</f>
        <v>45736.66667</v>
      </c>
      <c r="D135" s="25">
        <f>IFERROR(__xludf.DUMMYFUNCTION("""COMPUTED_VALUE"""),23.77)</f>
        <v>23.77</v>
      </c>
      <c r="E135" s="25">
        <f>IFERROR(__xludf.DUMMYFUNCTION("""COMPUTED_VALUE"""),24.31)</f>
        <v>24.31</v>
      </c>
      <c r="F135" s="25">
        <f>IFERROR(__xludf.DUMMYFUNCTION("""COMPUTED_VALUE"""),23.73)</f>
        <v>23.73</v>
      </c>
      <c r="G135" s="25">
        <f>IFERROR(__xludf.DUMMYFUNCTION("""COMPUTED_VALUE"""),23.96)</f>
        <v>23.96</v>
      </c>
      <c r="H135" s="25">
        <f>IFERROR(__xludf.DUMMYFUNCTION("""COMPUTED_VALUE"""),6.8937584E7)</f>
        <v>68937584</v>
      </c>
      <c r="I135" s="31">
        <f t="shared" si="4"/>
        <v>22.98380952</v>
      </c>
    </row>
    <row r="136">
      <c r="C136" s="27">
        <f>IFERROR(__xludf.DUMMYFUNCTION("""COMPUTED_VALUE"""),45737.66666666667)</f>
        <v>45737.66667</v>
      </c>
      <c r="D136" s="25">
        <f>IFERROR(__xludf.DUMMYFUNCTION("""COMPUTED_VALUE"""),23.6)</f>
        <v>23.6</v>
      </c>
      <c r="E136" s="25">
        <f>IFERROR(__xludf.DUMMYFUNCTION("""COMPUTED_VALUE"""),24.7)</f>
        <v>24.7</v>
      </c>
      <c r="F136" s="25">
        <f>IFERROR(__xludf.DUMMYFUNCTION("""COMPUTED_VALUE"""),23.49)</f>
        <v>23.49</v>
      </c>
      <c r="G136" s="25">
        <f>IFERROR(__xludf.DUMMYFUNCTION("""COMPUTED_VALUE"""),24.26)</f>
        <v>24.26</v>
      </c>
      <c r="H136" s="25">
        <f>IFERROR(__xludf.DUMMYFUNCTION("""COMPUTED_VALUE"""),9.411071E7)</f>
        <v>94110710</v>
      </c>
      <c r="I136" s="31">
        <f t="shared" si="4"/>
        <v>22.89666667</v>
      </c>
    </row>
    <row r="137">
      <c r="C137" s="27">
        <f>IFERROR(__xludf.DUMMYFUNCTION("""COMPUTED_VALUE"""),45740.66666666667)</f>
        <v>45740.66667</v>
      </c>
      <c r="D137" s="25">
        <f>IFERROR(__xludf.DUMMYFUNCTION("""COMPUTED_VALUE"""),24.72)</f>
        <v>24.72</v>
      </c>
      <c r="E137" s="25">
        <f>IFERROR(__xludf.DUMMYFUNCTION("""COMPUTED_VALUE"""),24.99)</f>
        <v>24.99</v>
      </c>
      <c r="F137" s="25">
        <f>IFERROR(__xludf.DUMMYFUNCTION("""COMPUTED_VALUE"""),24.13)</f>
        <v>24.13</v>
      </c>
      <c r="G137" s="25">
        <f>IFERROR(__xludf.DUMMYFUNCTION("""COMPUTED_VALUE"""),24.22)</f>
        <v>24.22</v>
      </c>
      <c r="H137" s="25">
        <f>IFERROR(__xludf.DUMMYFUNCTION("""COMPUTED_VALUE"""),6.9169028E7)</f>
        <v>69169028</v>
      </c>
      <c r="I137" s="31">
        <f t="shared" si="4"/>
        <v>22.86571429</v>
      </c>
    </row>
    <row r="138">
      <c r="C138" s="27">
        <f>IFERROR(__xludf.DUMMYFUNCTION("""COMPUTED_VALUE"""),45741.66666666667)</f>
        <v>45741.66667</v>
      </c>
      <c r="D138" s="25">
        <f>IFERROR(__xludf.DUMMYFUNCTION("""COMPUTED_VALUE"""),24.18)</f>
        <v>24.18</v>
      </c>
      <c r="E138" s="25">
        <f>IFERROR(__xludf.DUMMYFUNCTION("""COMPUTED_VALUE"""),24.75)</f>
        <v>24.75</v>
      </c>
      <c r="F138" s="25">
        <f>IFERROR(__xludf.DUMMYFUNCTION("""COMPUTED_VALUE"""),24.11)</f>
        <v>24.11</v>
      </c>
      <c r="G138" s="25">
        <f>IFERROR(__xludf.DUMMYFUNCTION("""COMPUTED_VALUE"""),24.2)</f>
        <v>24.2</v>
      </c>
      <c r="H138" s="25">
        <f>IFERROR(__xludf.DUMMYFUNCTION("""COMPUTED_VALUE"""),5.1743281E7)</f>
        <v>51743281</v>
      </c>
      <c r="I138" s="31">
        <f t="shared" si="4"/>
        <v>22.86238095</v>
      </c>
    </row>
    <row r="139">
      <c r="C139" s="27">
        <f>IFERROR(__xludf.DUMMYFUNCTION("""COMPUTED_VALUE"""),45742.66666666667)</f>
        <v>45742.66667</v>
      </c>
      <c r="D139" s="25">
        <f>IFERROR(__xludf.DUMMYFUNCTION("""COMPUTED_VALUE"""),24.25)</f>
        <v>24.25</v>
      </c>
      <c r="E139" s="25">
        <f>IFERROR(__xludf.DUMMYFUNCTION("""COMPUTED_VALUE"""),24.42)</f>
        <v>24.42</v>
      </c>
      <c r="F139" s="25">
        <f>IFERROR(__xludf.DUMMYFUNCTION("""COMPUTED_VALUE"""),23.25)</f>
        <v>23.25</v>
      </c>
      <c r="G139" s="25">
        <f>IFERROR(__xludf.DUMMYFUNCTION("""COMPUTED_VALUE"""),23.42)</f>
        <v>23.42</v>
      </c>
      <c r="H139" s="25">
        <f>IFERROR(__xludf.DUMMYFUNCTION("""COMPUTED_VALUE"""),5.9678008E7)</f>
        <v>59678008</v>
      </c>
      <c r="I139" s="31">
        <f t="shared" si="4"/>
        <v>22.88285714</v>
      </c>
    </row>
    <row r="140">
      <c r="C140" s="27">
        <f>IFERROR(__xludf.DUMMYFUNCTION("""COMPUTED_VALUE"""),45743.66666666667)</f>
        <v>45743.66667</v>
      </c>
      <c r="D140" s="25">
        <f>IFERROR(__xludf.DUMMYFUNCTION("""COMPUTED_VALUE"""),23.29)</f>
        <v>23.29</v>
      </c>
      <c r="E140" s="25">
        <f>IFERROR(__xludf.DUMMYFUNCTION("""COMPUTED_VALUE"""),23.76)</f>
        <v>23.76</v>
      </c>
      <c r="F140" s="25">
        <f>IFERROR(__xludf.DUMMYFUNCTION("""COMPUTED_VALUE"""),22.86)</f>
        <v>22.86</v>
      </c>
      <c r="G140" s="25">
        <f>IFERROR(__xludf.DUMMYFUNCTION("""COMPUTED_VALUE"""),23.62)</f>
        <v>23.62</v>
      </c>
      <c r="H140" s="25">
        <f>IFERROR(__xludf.DUMMYFUNCTION("""COMPUTED_VALUE"""),5.7720584E7)</f>
        <v>57720584</v>
      </c>
      <c r="I140" s="31">
        <f t="shared" si="4"/>
        <v>22.88761905</v>
      </c>
    </row>
    <row r="141">
      <c r="C141" s="27">
        <f>IFERROR(__xludf.DUMMYFUNCTION("""COMPUTED_VALUE"""),45744.66666666667)</f>
        <v>45744.66667</v>
      </c>
      <c r="D141" s="25">
        <f>IFERROR(__xludf.DUMMYFUNCTION("""COMPUTED_VALUE"""),23.35)</f>
        <v>23.35</v>
      </c>
      <c r="E141" s="25">
        <f>IFERROR(__xludf.DUMMYFUNCTION("""COMPUTED_VALUE"""),23.58)</f>
        <v>23.58</v>
      </c>
      <c r="F141" s="25">
        <f>IFERROR(__xludf.DUMMYFUNCTION("""COMPUTED_VALUE"""),22.56)</f>
        <v>22.56</v>
      </c>
      <c r="G141" s="25">
        <f>IFERROR(__xludf.DUMMYFUNCTION("""COMPUTED_VALUE"""),22.71)</f>
        <v>22.71</v>
      </c>
      <c r="H141" s="25">
        <f>IFERROR(__xludf.DUMMYFUNCTION("""COMPUTED_VALUE"""),5.8365257E7)</f>
        <v>58365257</v>
      </c>
      <c r="I141" s="31">
        <f t="shared" si="4"/>
        <v>22.86952381</v>
      </c>
    </row>
    <row r="142">
      <c r="C142" s="27">
        <f>IFERROR(__xludf.DUMMYFUNCTION("""COMPUTED_VALUE"""),45747.66666666667)</f>
        <v>45747.66667</v>
      </c>
      <c r="D142" s="25">
        <f>IFERROR(__xludf.DUMMYFUNCTION("""COMPUTED_VALUE"""),22.38)</f>
        <v>22.38</v>
      </c>
      <c r="E142" s="25">
        <f>IFERROR(__xludf.DUMMYFUNCTION("""COMPUTED_VALUE"""),22.75)</f>
        <v>22.75</v>
      </c>
      <c r="F142" s="25">
        <f>IFERROR(__xludf.DUMMYFUNCTION("""COMPUTED_VALUE"""),21.75)</f>
        <v>21.75</v>
      </c>
      <c r="G142" s="25">
        <f>IFERROR(__xludf.DUMMYFUNCTION("""COMPUTED_VALUE"""),22.71)</f>
        <v>22.71</v>
      </c>
      <c r="H142" s="25">
        <f>IFERROR(__xludf.DUMMYFUNCTION("""COMPUTED_VALUE"""),6.5832019E7)</f>
        <v>65832019</v>
      </c>
      <c r="I142" s="31">
        <f t="shared" si="4"/>
        <v>22.82095238</v>
      </c>
    </row>
    <row r="143">
      <c r="C143" s="27">
        <f>IFERROR(__xludf.DUMMYFUNCTION("""COMPUTED_VALUE"""),45748.66666666667)</f>
        <v>45748.66667</v>
      </c>
      <c r="D143" s="25">
        <f>IFERROR(__xludf.DUMMYFUNCTION("""COMPUTED_VALUE"""),22.56)</f>
        <v>22.56</v>
      </c>
      <c r="E143" s="25">
        <f>IFERROR(__xludf.DUMMYFUNCTION("""COMPUTED_VALUE"""),22.62)</f>
        <v>22.62</v>
      </c>
      <c r="F143" s="25">
        <f>IFERROR(__xludf.DUMMYFUNCTION("""COMPUTED_VALUE"""),21.66)</f>
        <v>21.66</v>
      </c>
      <c r="G143" s="25">
        <f>IFERROR(__xludf.DUMMYFUNCTION("""COMPUTED_VALUE"""),22.05)</f>
        <v>22.05</v>
      </c>
      <c r="H143" s="25">
        <f>IFERROR(__xludf.DUMMYFUNCTION("""COMPUTED_VALUE"""),6.4060355E7)</f>
        <v>64060355</v>
      </c>
      <c r="I143" s="31">
        <f t="shared" si="4"/>
        <v>22.78809524</v>
      </c>
    </row>
    <row r="144">
      <c r="C144" s="27">
        <f>IFERROR(__xludf.DUMMYFUNCTION("""COMPUTED_VALUE"""),45749.66666666667)</f>
        <v>45749.66667</v>
      </c>
      <c r="D144" s="25">
        <f>IFERROR(__xludf.DUMMYFUNCTION("""COMPUTED_VALUE"""),21.89)</f>
        <v>21.89</v>
      </c>
      <c r="E144" s="25">
        <f>IFERROR(__xludf.DUMMYFUNCTION("""COMPUTED_VALUE"""),22.38)</f>
        <v>22.38</v>
      </c>
      <c r="F144" s="25">
        <f>IFERROR(__xludf.DUMMYFUNCTION("""COMPUTED_VALUE"""),21.7)</f>
        <v>21.7</v>
      </c>
      <c r="G144" s="25">
        <f>IFERROR(__xludf.DUMMYFUNCTION("""COMPUTED_VALUE"""),21.98)</f>
        <v>21.98</v>
      </c>
      <c r="H144" s="25">
        <f>IFERROR(__xludf.DUMMYFUNCTION("""COMPUTED_VALUE"""),5.8878848E7)</f>
        <v>58878848</v>
      </c>
      <c r="I144" s="31">
        <f t="shared" si="4"/>
        <v>22.81904762</v>
      </c>
    </row>
    <row r="145">
      <c r="C145" s="27">
        <f>IFERROR(__xludf.DUMMYFUNCTION("""COMPUTED_VALUE"""),45750.66666666667)</f>
        <v>45750.66667</v>
      </c>
      <c r="D145" s="25">
        <f>IFERROR(__xludf.DUMMYFUNCTION("""COMPUTED_VALUE"""),21.4)</f>
        <v>21.4</v>
      </c>
      <c r="E145" s="25">
        <f>IFERROR(__xludf.DUMMYFUNCTION("""COMPUTED_VALUE"""),23.9)</f>
        <v>23.9</v>
      </c>
      <c r="F145" s="25">
        <f>IFERROR(__xludf.DUMMYFUNCTION("""COMPUTED_VALUE"""),20.86)</f>
        <v>20.86</v>
      </c>
      <c r="G145" s="25">
        <f>IFERROR(__xludf.DUMMYFUNCTION("""COMPUTED_VALUE"""),22.43)</f>
        <v>22.43</v>
      </c>
      <c r="H145" s="25">
        <f>IFERROR(__xludf.DUMMYFUNCTION("""COMPUTED_VALUE"""),2.42972129E8)</f>
        <v>242972129</v>
      </c>
      <c r="I145" s="31">
        <f t="shared" si="4"/>
        <v>22.89619048</v>
      </c>
    </row>
    <row r="146">
      <c r="C146" s="27">
        <f>IFERROR(__xludf.DUMMYFUNCTION("""COMPUTED_VALUE"""),45751.66666666667)</f>
        <v>45751.66667</v>
      </c>
      <c r="D146" s="25">
        <f>IFERROR(__xludf.DUMMYFUNCTION("""COMPUTED_VALUE"""),21.7)</f>
        <v>21.7</v>
      </c>
      <c r="E146" s="25">
        <f>IFERROR(__xludf.DUMMYFUNCTION("""COMPUTED_VALUE"""),22.2)</f>
        <v>22.2</v>
      </c>
      <c r="F146" s="25">
        <f>IFERROR(__xludf.DUMMYFUNCTION("""COMPUTED_VALUE"""),19.7)</f>
        <v>19.7</v>
      </c>
      <c r="G146" s="25">
        <f>IFERROR(__xludf.DUMMYFUNCTION("""COMPUTED_VALUE"""),19.85)</f>
        <v>19.85</v>
      </c>
      <c r="H146" s="25">
        <f>IFERROR(__xludf.DUMMYFUNCTION("""COMPUTED_VALUE"""),1.75014739E8)</f>
        <v>175014739</v>
      </c>
      <c r="I146" s="31">
        <f t="shared" si="4"/>
        <v>22.85333333</v>
      </c>
    </row>
    <row r="147">
      <c r="C147" s="27">
        <f>IFERROR(__xludf.DUMMYFUNCTION("""COMPUTED_VALUE"""),45754.66666666667)</f>
        <v>45754.66667</v>
      </c>
      <c r="D147" s="25">
        <f>IFERROR(__xludf.DUMMYFUNCTION("""COMPUTED_VALUE"""),19.14)</f>
        <v>19.14</v>
      </c>
      <c r="E147" s="25">
        <f>IFERROR(__xludf.DUMMYFUNCTION("""COMPUTED_VALUE"""),20.67)</f>
        <v>20.67</v>
      </c>
      <c r="F147" s="25">
        <f>IFERROR(__xludf.DUMMYFUNCTION("""COMPUTED_VALUE"""),18.56)</f>
        <v>18.56</v>
      </c>
      <c r="G147" s="25">
        <f>IFERROR(__xludf.DUMMYFUNCTION("""COMPUTED_VALUE"""),19.57)</f>
        <v>19.57</v>
      </c>
      <c r="H147" s="25">
        <f>IFERROR(__xludf.DUMMYFUNCTION("""COMPUTED_VALUE"""),1.42491152E8)</f>
        <v>142491152</v>
      </c>
      <c r="I147" s="31">
        <f t="shared" si="4"/>
        <v>22.80238095</v>
      </c>
    </row>
    <row r="148">
      <c r="C148" s="27">
        <f>IFERROR(__xludf.DUMMYFUNCTION("""COMPUTED_VALUE"""),45755.66666666667)</f>
        <v>45755.66667</v>
      </c>
      <c r="D148" s="25">
        <f>IFERROR(__xludf.DUMMYFUNCTION("""COMPUTED_VALUE"""),20.06)</f>
        <v>20.06</v>
      </c>
      <c r="E148" s="25">
        <f>IFERROR(__xludf.DUMMYFUNCTION("""COMPUTED_VALUE"""),20.39)</f>
        <v>20.39</v>
      </c>
      <c r="F148" s="25">
        <f>IFERROR(__xludf.DUMMYFUNCTION("""COMPUTED_VALUE"""),17.67)</f>
        <v>17.67</v>
      </c>
      <c r="G148" s="25">
        <f>IFERROR(__xludf.DUMMYFUNCTION("""COMPUTED_VALUE"""),18.13)</f>
        <v>18.13</v>
      </c>
      <c r="H148" s="25">
        <f>IFERROR(__xludf.DUMMYFUNCTION("""COMPUTED_VALUE"""),1.63982681E8)</f>
        <v>163982681</v>
      </c>
      <c r="I148" s="31">
        <f t="shared" si="4"/>
        <v>22.71666667</v>
      </c>
    </row>
    <row r="149">
      <c r="C149" s="27">
        <f>IFERROR(__xludf.DUMMYFUNCTION("""COMPUTED_VALUE"""),45756.66666666667)</f>
        <v>45756.66667</v>
      </c>
      <c r="D149" s="25">
        <f>IFERROR(__xludf.DUMMYFUNCTION("""COMPUTED_VALUE"""),18.07)</f>
        <v>18.07</v>
      </c>
      <c r="E149" s="25">
        <f>IFERROR(__xludf.DUMMYFUNCTION("""COMPUTED_VALUE"""),21.73)</f>
        <v>21.73</v>
      </c>
      <c r="F149" s="25">
        <f>IFERROR(__xludf.DUMMYFUNCTION("""COMPUTED_VALUE"""),17.98)</f>
        <v>17.98</v>
      </c>
      <c r="G149" s="25">
        <f>IFERROR(__xludf.DUMMYFUNCTION("""COMPUTED_VALUE"""),21.53)</f>
        <v>21.53</v>
      </c>
      <c r="H149" s="25">
        <f>IFERROR(__xludf.DUMMYFUNCTION("""COMPUTED_VALUE"""),2.2418349E8)</f>
        <v>224183490</v>
      </c>
      <c r="I149" s="31">
        <f t="shared" si="4"/>
        <v>22.8</v>
      </c>
    </row>
    <row r="150">
      <c r="C150" s="27">
        <f>IFERROR(__xludf.DUMMYFUNCTION("""COMPUTED_VALUE"""),45757.66666666667)</f>
        <v>45757.66667</v>
      </c>
      <c r="D150" s="25">
        <f>IFERROR(__xludf.DUMMYFUNCTION("""COMPUTED_VALUE"""),20.68)</f>
        <v>20.68</v>
      </c>
      <c r="E150" s="25">
        <f>IFERROR(__xludf.DUMMYFUNCTION("""COMPUTED_VALUE"""),20.82)</f>
        <v>20.82</v>
      </c>
      <c r="F150" s="25">
        <f>IFERROR(__xludf.DUMMYFUNCTION("""COMPUTED_VALUE"""),19.16)</f>
        <v>19.16</v>
      </c>
      <c r="G150" s="25">
        <f>IFERROR(__xludf.DUMMYFUNCTION("""COMPUTED_VALUE"""),19.88)</f>
        <v>19.88</v>
      </c>
      <c r="H150" s="25">
        <f>IFERROR(__xludf.DUMMYFUNCTION("""COMPUTED_VALUE"""),1.29064855E8)</f>
        <v>129064855</v>
      </c>
      <c r="I150" s="31">
        <f t="shared" si="4"/>
        <v>22.76190476</v>
      </c>
    </row>
    <row r="151">
      <c r="C151" s="27">
        <f>IFERROR(__xludf.DUMMYFUNCTION("""COMPUTED_VALUE"""),45758.66666666667)</f>
        <v>45758.66667</v>
      </c>
      <c r="D151" s="25">
        <f>IFERROR(__xludf.DUMMYFUNCTION("""COMPUTED_VALUE"""),19.25)</f>
        <v>19.25</v>
      </c>
      <c r="E151" s="25">
        <f>IFERROR(__xludf.DUMMYFUNCTION("""COMPUTED_VALUE"""),19.8)</f>
        <v>19.8</v>
      </c>
      <c r="F151" s="25">
        <f>IFERROR(__xludf.DUMMYFUNCTION("""COMPUTED_VALUE"""),18.18)</f>
        <v>18.18</v>
      </c>
      <c r="G151" s="25">
        <f>IFERROR(__xludf.DUMMYFUNCTION("""COMPUTED_VALUE"""),19.74)</f>
        <v>19.74</v>
      </c>
      <c r="H151" s="25">
        <f>IFERROR(__xludf.DUMMYFUNCTION("""COMPUTED_VALUE"""),1.2842581E8)</f>
        <v>128425810</v>
      </c>
      <c r="I151" s="31">
        <f t="shared" si="4"/>
        <v>22.57333333</v>
      </c>
    </row>
    <row r="152">
      <c r="C152" s="27">
        <f>IFERROR(__xludf.DUMMYFUNCTION("""COMPUTED_VALUE"""),45761.66666666667)</f>
        <v>45761.66667</v>
      </c>
      <c r="D152" s="25">
        <f>IFERROR(__xludf.DUMMYFUNCTION("""COMPUTED_VALUE"""),20.59)</f>
        <v>20.59</v>
      </c>
      <c r="E152" s="25">
        <f>IFERROR(__xludf.DUMMYFUNCTION("""COMPUTED_VALUE"""),21.05)</f>
        <v>21.05</v>
      </c>
      <c r="F152" s="25">
        <f>IFERROR(__xludf.DUMMYFUNCTION("""COMPUTED_VALUE"""),19.98)</f>
        <v>19.98</v>
      </c>
      <c r="G152" s="25">
        <f>IFERROR(__xludf.DUMMYFUNCTION("""COMPUTED_VALUE"""),20.31)</f>
        <v>20.31</v>
      </c>
      <c r="H152" s="25">
        <f>IFERROR(__xludf.DUMMYFUNCTION("""COMPUTED_VALUE"""),1.01964371E8)</f>
        <v>101964371</v>
      </c>
      <c r="I152" s="31">
        <f t="shared" si="4"/>
        <v>22.3952381</v>
      </c>
    </row>
    <row r="153">
      <c r="C153" s="27">
        <f>IFERROR(__xludf.DUMMYFUNCTION("""COMPUTED_VALUE"""),45762.66666666667)</f>
        <v>45762.66667</v>
      </c>
      <c r="D153" s="25">
        <f>IFERROR(__xludf.DUMMYFUNCTION("""COMPUTED_VALUE"""),20.2)</f>
        <v>20.2</v>
      </c>
      <c r="E153" s="25">
        <f>IFERROR(__xludf.DUMMYFUNCTION("""COMPUTED_VALUE"""),20.47)</f>
        <v>20.47</v>
      </c>
      <c r="F153" s="25">
        <f>IFERROR(__xludf.DUMMYFUNCTION("""COMPUTED_VALUE"""),19.81)</f>
        <v>19.81</v>
      </c>
      <c r="G153" s="25">
        <f>IFERROR(__xludf.DUMMYFUNCTION("""COMPUTED_VALUE"""),19.85)</f>
        <v>19.85</v>
      </c>
      <c r="H153" s="25">
        <f>IFERROR(__xludf.DUMMYFUNCTION("""COMPUTED_VALUE"""),6.4056895E7)</f>
        <v>64056895</v>
      </c>
      <c r="I153" s="31">
        <f t="shared" si="4"/>
        <v>22.11714286</v>
      </c>
    </row>
    <row r="154">
      <c r="C154" s="27">
        <f>IFERROR(__xludf.DUMMYFUNCTION("""COMPUTED_VALUE"""),45763.66666666667)</f>
        <v>45763.66667</v>
      </c>
      <c r="D154" s="25">
        <f>IFERROR(__xludf.DUMMYFUNCTION("""COMPUTED_VALUE"""),19.34)</f>
        <v>19.34</v>
      </c>
      <c r="E154" s="25">
        <f>IFERROR(__xludf.DUMMYFUNCTION("""COMPUTED_VALUE"""),19.43)</f>
        <v>19.43</v>
      </c>
      <c r="F154" s="25">
        <f>IFERROR(__xludf.DUMMYFUNCTION("""COMPUTED_VALUE"""),18.72)</f>
        <v>18.72</v>
      </c>
      <c r="G154" s="25">
        <f>IFERROR(__xludf.DUMMYFUNCTION("""COMPUTED_VALUE"""),19.23)</f>
        <v>19.23</v>
      </c>
      <c r="H154" s="25">
        <f>IFERROR(__xludf.DUMMYFUNCTION("""COMPUTED_VALUE"""),8.9469703E7)</f>
        <v>89469703</v>
      </c>
      <c r="I154" s="31">
        <f t="shared" si="4"/>
        <v>21.79857143</v>
      </c>
    </row>
    <row r="155">
      <c r="C155" s="27">
        <f>IFERROR(__xludf.DUMMYFUNCTION("""COMPUTED_VALUE"""),45764.66666666667)</f>
        <v>45764.66667</v>
      </c>
      <c r="D155" s="25">
        <f>IFERROR(__xludf.DUMMYFUNCTION("""COMPUTED_VALUE"""),18.91)</f>
        <v>18.91</v>
      </c>
      <c r="E155" s="25">
        <f>IFERROR(__xludf.DUMMYFUNCTION("""COMPUTED_VALUE"""),19.1)</f>
        <v>19.1</v>
      </c>
      <c r="F155" s="25">
        <f>IFERROR(__xludf.DUMMYFUNCTION("""COMPUTED_VALUE"""),18.56)</f>
        <v>18.56</v>
      </c>
      <c r="G155" s="25">
        <f>IFERROR(__xludf.DUMMYFUNCTION("""COMPUTED_VALUE"""),18.93)</f>
        <v>18.93</v>
      </c>
      <c r="H155" s="25">
        <f>IFERROR(__xludf.DUMMYFUNCTION("""COMPUTED_VALUE"""),8.5646667E7)</f>
        <v>85646667</v>
      </c>
      <c r="I155" s="31">
        <f t="shared" si="4"/>
        <v>21.55142857</v>
      </c>
    </row>
    <row r="156">
      <c r="C156" s="27">
        <f>IFERROR(__xludf.DUMMYFUNCTION("""COMPUTED_VALUE"""),45768.66666666667)</f>
        <v>45768.66667</v>
      </c>
      <c r="D156" s="25">
        <f>IFERROR(__xludf.DUMMYFUNCTION("""COMPUTED_VALUE"""),18.93)</f>
        <v>18.93</v>
      </c>
      <c r="E156" s="25">
        <f>IFERROR(__xludf.DUMMYFUNCTION("""COMPUTED_VALUE"""),18.99)</f>
        <v>18.99</v>
      </c>
      <c r="F156" s="25">
        <f>IFERROR(__xludf.DUMMYFUNCTION("""COMPUTED_VALUE"""),18.25)</f>
        <v>18.25</v>
      </c>
      <c r="G156" s="25">
        <f>IFERROR(__xludf.DUMMYFUNCTION("""COMPUTED_VALUE"""),18.84)</f>
        <v>18.84</v>
      </c>
      <c r="H156" s="25">
        <f>IFERROR(__xludf.DUMMYFUNCTION("""COMPUTED_VALUE"""),7.2409946E7)</f>
        <v>72409946</v>
      </c>
      <c r="I156" s="31">
        <f t="shared" si="4"/>
        <v>21.30761905</v>
      </c>
    </row>
    <row r="157">
      <c r="C157" s="27">
        <f>IFERROR(__xludf.DUMMYFUNCTION("""COMPUTED_VALUE"""),45769.66666666667)</f>
        <v>45769.66667</v>
      </c>
      <c r="D157" s="25">
        <f>IFERROR(__xludf.DUMMYFUNCTION("""COMPUTED_VALUE"""),19.06)</f>
        <v>19.06</v>
      </c>
      <c r="E157" s="25">
        <f>IFERROR(__xludf.DUMMYFUNCTION("""COMPUTED_VALUE"""),19.74)</f>
        <v>19.74</v>
      </c>
      <c r="F157" s="25">
        <f>IFERROR(__xludf.DUMMYFUNCTION("""COMPUTED_VALUE"""),19.04)</f>
        <v>19.04</v>
      </c>
      <c r="G157" s="25">
        <f>IFERROR(__xludf.DUMMYFUNCTION("""COMPUTED_VALUE"""),19.51)</f>
        <v>19.51</v>
      </c>
      <c r="H157" s="25">
        <f>IFERROR(__xludf.DUMMYFUNCTION("""COMPUTED_VALUE"""),8.3365634E7)</f>
        <v>83365634</v>
      </c>
      <c r="I157" s="31">
        <f t="shared" si="4"/>
        <v>21.08142857</v>
      </c>
    </row>
    <row r="158">
      <c r="C158" s="27">
        <f>IFERROR(__xludf.DUMMYFUNCTION("""COMPUTED_VALUE"""),45770.66666666667)</f>
        <v>45770.66667</v>
      </c>
      <c r="D158" s="25">
        <f>IFERROR(__xludf.DUMMYFUNCTION("""COMPUTED_VALUE"""),20.72)</f>
        <v>20.72</v>
      </c>
      <c r="E158" s="25">
        <f>IFERROR(__xludf.DUMMYFUNCTION("""COMPUTED_VALUE"""),21.03)</f>
        <v>21.03</v>
      </c>
      <c r="F158" s="25">
        <f>IFERROR(__xludf.DUMMYFUNCTION("""COMPUTED_VALUE"""),20.31)</f>
        <v>20.31</v>
      </c>
      <c r="G158" s="25">
        <f>IFERROR(__xludf.DUMMYFUNCTION("""COMPUTED_VALUE"""),20.59)</f>
        <v>20.59</v>
      </c>
      <c r="H158" s="25">
        <f>IFERROR(__xludf.DUMMYFUNCTION("""COMPUTED_VALUE"""),9.7188101E7)</f>
        <v>97188101</v>
      </c>
      <c r="I158" s="31">
        <f t="shared" si="4"/>
        <v>20.90857143</v>
      </c>
    </row>
    <row r="159">
      <c r="C159" s="27">
        <f>IFERROR(__xludf.DUMMYFUNCTION("""COMPUTED_VALUE"""),45771.66666666667)</f>
        <v>45771.66667</v>
      </c>
      <c r="D159" s="25">
        <f>IFERROR(__xludf.DUMMYFUNCTION("""COMPUTED_VALUE"""),21.04)</f>
        <v>21.04</v>
      </c>
      <c r="E159" s="25">
        <f>IFERROR(__xludf.DUMMYFUNCTION("""COMPUTED_VALUE"""),21.55)</f>
        <v>21.55</v>
      </c>
      <c r="F159" s="25">
        <f>IFERROR(__xludf.DUMMYFUNCTION("""COMPUTED_VALUE"""),20.88)</f>
        <v>20.88</v>
      </c>
      <c r="G159" s="25">
        <f>IFERROR(__xludf.DUMMYFUNCTION("""COMPUTED_VALUE"""),21.49)</f>
        <v>21.49</v>
      </c>
      <c r="H159" s="25">
        <f>IFERROR(__xludf.DUMMYFUNCTION("""COMPUTED_VALUE"""),1.1708622E8)</f>
        <v>117086220</v>
      </c>
      <c r="I159" s="31">
        <f t="shared" si="4"/>
        <v>20.77952381</v>
      </c>
    </row>
    <row r="160">
      <c r="C160" s="27">
        <f>IFERROR(__xludf.DUMMYFUNCTION("""COMPUTED_VALUE"""),45772.66666666667)</f>
        <v>45772.66667</v>
      </c>
      <c r="D160" s="25">
        <f>IFERROR(__xludf.DUMMYFUNCTION("""COMPUTED_VALUE"""),19.73)</f>
        <v>19.73</v>
      </c>
      <c r="E160" s="25">
        <f>IFERROR(__xludf.DUMMYFUNCTION("""COMPUTED_VALUE"""),20.18)</f>
        <v>20.18</v>
      </c>
      <c r="F160" s="25">
        <f>IFERROR(__xludf.DUMMYFUNCTION("""COMPUTED_VALUE"""),19.34)</f>
        <v>19.34</v>
      </c>
      <c r="G160" s="25">
        <f>IFERROR(__xludf.DUMMYFUNCTION("""COMPUTED_VALUE"""),20.05)</f>
        <v>20.05</v>
      </c>
      <c r="H160" s="25">
        <f>IFERROR(__xludf.DUMMYFUNCTION("""COMPUTED_VALUE"""),1.47711174E8)</f>
        <v>147711174</v>
      </c>
      <c r="I160" s="31">
        <f t="shared" si="4"/>
        <v>20.61904762</v>
      </c>
    </row>
    <row r="161">
      <c r="C161" s="27">
        <f>IFERROR(__xludf.DUMMYFUNCTION("""COMPUTED_VALUE"""),45775.66666666667)</f>
        <v>45775.66667</v>
      </c>
      <c r="D161" s="25">
        <f>IFERROR(__xludf.DUMMYFUNCTION("""COMPUTED_VALUE"""),20.12)</f>
        <v>20.12</v>
      </c>
      <c r="E161" s="25">
        <f>IFERROR(__xludf.DUMMYFUNCTION("""COMPUTED_VALUE"""),21.08)</f>
        <v>21.08</v>
      </c>
      <c r="F161" s="25">
        <f>IFERROR(__xludf.DUMMYFUNCTION("""COMPUTED_VALUE"""),20.05)</f>
        <v>20.05</v>
      </c>
      <c r="G161" s="25">
        <f>IFERROR(__xludf.DUMMYFUNCTION("""COMPUTED_VALUE"""),20.51)</f>
        <v>20.51</v>
      </c>
      <c r="H161" s="25">
        <f>IFERROR(__xludf.DUMMYFUNCTION("""COMPUTED_VALUE"""),9.6624416E7)</f>
        <v>96624416</v>
      </c>
      <c r="I161" s="31">
        <f t="shared" si="4"/>
        <v>20.47095238</v>
      </c>
    </row>
    <row r="162">
      <c r="C162" s="27">
        <f>IFERROR(__xludf.DUMMYFUNCTION("""COMPUTED_VALUE"""),45776.66666666667)</f>
        <v>45776.66667</v>
      </c>
      <c r="D162" s="25">
        <f>IFERROR(__xludf.DUMMYFUNCTION("""COMPUTED_VALUE"""),20.31)</f>
        <v>20.31</v>
      </c>
      <c r="E162" s="25">
        <f>IFERROR(__xludf.DUMMYFUNCTION("""COMPUTED_VALUE"""),20.85)</f>
        <v>20.85</v>
      </c>
      <c r="F162" s="25">
        <f>IFERROR(__xludf.DUMMYFUNCTION("""COMPUTED_VALUE"""),20.22)</f>
        <v>20.22</v>
      </c>
      <c r="G162" s="25">
        <f>IFERROR(__xludf.DUMMYFUNCTION("""COMPUTED_VALUE"""),20.34)</f>
        <v>20.34</v>
      </c>
      <c r="H162" s="25">
        <f>IFERROR(__xludf.DUMMYFUNCTION("""COMPUTED_VALUE"""),7.0031864E7)</f>
        <v>70031864</v>
      </c>
      <c r="I162" s="31">
        <f t="shared" si="4"/>
        <v>20.35809524</v>
      </c>
    </row>
    <row r="163">
      <c r="C163" s="27">
        <f>IFERROR(__xludf.DUMMYFUNCTION("""COMPUTED_VALUE"""),45777.66666666667)</f>
        <v>45777.66667</v>
      </c>
      <c r="D163" s="25">
        <f>IFERROR(__xludf.DUMMYFUNCTION("""COMPUTED_VALUE"""),19.71)</f>
        <v>19.71</v>
      </c>
      <c r="E163" s="25">
        <f>IFERROR(__xludf.DUMMYFUNCTION("""COMPUTED_VALUE"""),20.18)</f>
        <v>20.18</v>
      </c>
      <c r="F163" s="25">
        <f>IFERROR(__xludf.DUMMYFUNCTION("""COMPUTED_VALUE"""),19.55)</f>
        <v>19.55</v>
      </c>
      <c r="G163" s="25">
        <f>IFERROR(__xludf.DUMMYFUNCTION("""COMPUTED_VALUE"""),20.1)</f>
        <v>20.1</v>
      </c>
      <c r="H163" s="25">
        <f>IFERROR(__xludf.DUMMYFUNCTION("""COMPUTED_VALUE"""),6.8297323E7)</f>
        <v>68297323</v>
      </c>
      <c r="I163" s="31">
        <f t="shared" si="4"/>
        <v>20.23380952</v>
      </c>
    </row>
    <row r="164">
      <c r="C164" s="27">
        <f>IFERROR(__xludf.DUMMYFUNCTION("""COMPUTED_VALUE"""),45778.66666666667)</f>
        <v>45778.66667</v>
      </c>
      <c r="D164" s="25">
        <f>IFERROR(__xludf.DUMMYFUNCTION("""COMPUTED_VALUE"""),20.22)</f>
        <v>20.22</v>
      </c>
      <c r="E164" s="25">
        <f>IFERROR(__xludf.DUMMYFUNCTION("""COMPUTED_VALUE"""),20.65)</f>
        <v>20.65</v>
      </c>
      <c r="F164" s="25">
        <f>IFERROR(__xludf.DUMMYFUNCTION("""COMPUTED_VALUE"""),19.94)</f>
        <v>19.94</v>
      </c>
      <c r="G164" s="25">
        <f>IFERROR(__xludf.DUMMYFUNCTION("""COMPUTED_VALUE"""),19.98)</f>
        <v>19.98</v>
      </c>
      <c r="H164" s="25">
        <f>IFERROR(__xludf.DUMMYFUNCTION("""COMPUTED_VALUE"""),7.2607511E7)</f>
        <v>72607511</v>
      </c>
      <c r="I164" s="31">
        <f t="shared" si="4"/>
        <v>20.1352381</v>
      </c>
    </row>
    <row r="165">
      <c r="C165" s="27">
        <f>IFERROR(__xludf.DUMMYFUNCTION("""COMPUTED_VALUE"""),45779.66666666667)</f>
        <v>45779.66667</v>
      </c>
      <c r="D165" s="25">
        <f>IFERROR(__xludf.DUMMYFUNCTION("""COMPUTED_VALUE"""),20.26)</f>
        <v>20.26</v>
      </c>
      <c r="E165" s="25">
        <f>IFERROR(__xludf.DUMMYFUNCTION("""COMPUTED_VALUE"""),20.78)</f>
        <v>20.78</v>
      </c>
      <c r="F165" s="25">
        <f>IFERROR(__xludf.DUMMYFUNCTION("""COMPUTED_VALUE"""),20.21)</f>
        <v>20.21</v>
      </c>
      <c r="G165" s="25">
        <f>IFERROR(__xludf.DUMMYFUNCTION("""COMPUTED_VALUE"""),20.62)</f>
        <v>20.62</v>
      </c>
      <c r="H165" s="25">
        <f>IFERROR(__xludf.DUMMYFUNCTION("""COMPUTED_VALUE"""),6.3298512E7)</f>
        <v>63298512</v>
      </c>
      <c r="I165" s="31">
        <f t="shared" si="4"/>
        <v>20.07047619</v>
      </c>
    </row>
    <row r="166">
      <c r="C166" s="27">
        <f>IFERROR(__xludf.DUMMYFUNCTION("""COMPUTED_VALUE"""),45782.66666666667)</f>
        <v>45782.66667</v>
      </c>
      <c r="D166" s="25">
        <f>IFERROR(__xludf.DUMMYFUNCTION("""COMPUTED_VALUE"""),20.39)</f>
        <v>20.39</v>
      </c>
      <c r="E166" s="25">
        <f>IFERROR(__xludf.DUMMYFUNCTION("""COMPUTED_VALUE"""),20.58)</f>
        <v>20.58</v>
      </c>
      <c r="F166" s="25">
        <f>IFERROR(__xludf.DUMMYFUNCTION("""COMPUTED_VALUE"""),20.24)</f>
        <v>20.24</v>
      </c>
      <c r="G166" s="25">
        <f>IFERROR(__xludf.DUMMYFUNCTION("""COMPUTED_VALUE"""),20.27)</f>
        <v>20.27</v>
      </c>
      <c r="H166" s="25">
        <f>IFERROR(__xludf.DUMMYFUNCTION("""COMPUTED_VALUE"""),4.4236981E7)</f>
        <v>44236981</v>
      </c>
      <c r="I166" s="31">
        <f t="shared" si="4"/>
        <v>19.96761905</v>
      </c>
    </row>
    <row r="167">
      <c r="C167" s="27">
        <f>IFERROR(__xludf.DUMMYFUNCTION("""COMPUTED_VALUE"""),45783.66666666667)</f>
        <v>45783.66667</v>
      </c>
      <c r="D167" s="25">
        <f>IFERROR(__xludf.DUMMYFUNCTION("""COMPUTED_VALUE"""),19.92)</f>
        <v>19.92</v>
      </c>
      <c r="E167" s="25">
        <f>IFERROR(__xludf.DUMMYFUNCTION("""COMPUTED_VALUE"""),20.12)</f>
        <v>20.12</v>
      </c>
      <c r="F167" s="25">
        <f>IFERROR(__xludf.DUMMYFUNCTION("""COMPUTED_VALUE"""),19.77)</f>
        <v>19.77</v>
      </c>
      <c r="G167" s="25">
        <f>IFERROR(__xludf.DUMMYFUNCTION("""COMPUTED_VALUE"""),19.94)</f>
        <v>19.94</v>
      </c>
      <c r="H167" s="25">
        <f>IFERROR(__xludf.DUMMYFUNCTION("""COMPUTED_VALUE"""),5.1330772E7)</f>
        <v>51330772</v>
      </c>
      <c r="I167" s="31">
        <f t="shared" si="4"/>
        <v>19.97190476</v>
      </c>
    </row>
    <row r="168">
      <c r="C168" s="27">
        <f>IFERROR(__xludf.DUMMYFUNCTION("""COMPUTED_VALUE"""),45784.66666666667)</f>
        <v>45784.66667</v>
      </c>
      <c r="D168" s="25">
        <f>IFERROR(__xludf.DUMMYFUNCTION("""COMPUTED_VALUE"""),19.97)</f>
        <v>19.97</v>
      </c>
      <c r="E168" s="25">
        <f>IFERROR(__xludf.DUMMYFUNCTION("""COMPUTED_VALUE"""),20.37)</f>
        <v>20.37</v>
      </c>
      <c r="F168" s="25">
        <f>IFERROR(__xludf.DUMMYFUNCTION("""COMPUTED_VALUE"""),19.82)</f>
        <v>19.82</v>
      </c>
      <c r="G168" s="25">
        <f>IFERROR(__xludf.DUMMYFUNCTION("""COMPUTED_VALUE"""),20.31)</f>
        <v>20.31</v>
      </c>
      <c r="H168" s="25">
        <f>IFERROR(__xludf.DUMMYFUNCTION("""COMPUTED_VALUE"""),6.1134293E7)</f>
        <v>61134293</v>
      </c>
      <c r="I168" s="31">
        <f t="shared" si="4"/>
        <v>20.00714286</v>
      </c>
    </row>
    <row r="169">
      <c r="C169" s="27">
        <f>IFERROR(__xludf.DUMMYFUNCTION("""COMPUTED_VALUE"""),45785.66666666667)</f>
        <v>45785.66667</v>
      </c>
      <c r="D169" s="25">
        <f>IFERROR(__xludf.DUMMYFUNCTION("""COMPUTED_VALUE"""),21.01)</f>
        <v>21.01</v>
      </c>
      <c r="E169" s="25">
        <f>IFERROR(__xludf.DUMMYFUNCTION("""COMPUTED_VALUE"""),21.24)</f>
        <v>21.24</v>
      </c>
      <c r="F169" s="25">
        <f>IFERROR(__xludf.DUMMYFUNCTION("""COMPUTED_VALUE"""),20.64)</f>
        <v>20.64</v>
      </c>
      <c r="G169" s="25">
        <f>IFERROR(__xludf.DUMMYFUNCTION("""COMPUTED_VALUE"""),21.0)</f>
        <v>21</v>
      </c>
      <c r="H169" s="25">
        <f>IFERROR(__xludf.DUMMYFUNCTION("""COMPUTED_VALUE"""),7.1651698E7)</f>
        <v>71651698</v>
      </c>
      <c r="I169" s="31">
        <f t="shared" si="4"/>
        <v>20.14380952</v>
      </c>
    </row>
    <row r="170">
      <c r="C170" s="27">
        <f>IFERROR(__xludf.DUMMYFUNCTION("""COMPUTED_VALUE"""),45786.66666666667)</f>
        <v>45786.66667</v>
      </c>
      <c r="D170" s="25">
        <f>IFERROR(__xludf.DUMMYFUNCTION("""COMPUTED_VALUE"""),21.2)</f>
        <v>21.2</v>
      </c>
      <c r="E170" s="25">
        <f>IFERROR(__xludf.DUMMYFUNCTION("""COMPUTED_VALUE"""),21.45)</f>
        <v>21.45</v>
      </c>
      <c r="F170" s="25">
        <f>IFERROR(__xludf.DUMMYFUNCTION("""COMPUTED_VALUE"""),20.83)</f>
        <v>20.83</v>
      </c>
      <c r="G170" s="25">
        <f>IFERROR(__xludf.DUMMYFUNCTION("""COMPUTED_VALUE"""),21.42)</f>
        <v>21.42</v>
      </c>
      <c r="H170" s="25">
        <f>IFERROR(__xludf.DUMMYFUNCTION("""COMPUTED_VALUE"""),5.1768565E7)</f>
        <v>51768565</v>
      </c>
      <c r="I170" s="31">
        <f t="shared" si="4"/>
        <v>20.13857143</v>
      </c>
    </row>
    <row r="171">
      <c r="C171" s="27">
        <f>IFERROR(__xludf.DUMMYFUNCTION("""COMPUTED_VALUE"""),45789.66666666667)</f>
        <v>45789.66667</v>
      </c>
      <c r="D171" s="25">
        <f>IFERROR(__xludf.DUMMYFUNCTION("""COMPUTED_VALUE"""),22.18)</f>
        <v>22.18</v>
      </c>
      <c r="E171" s="25">
        <f>IFERROR(__xludf.DUMMYFUNCTION("""COMPUTED_VALUE"""),22.67)</f>
        <v>22.67</v>
      </c>
      <c r="F171" s="25">
        <f>IFERROR(__xludf.DUMMYFUNCTION("""COMPUTED_VALUE"""),21.88)</f>
        <v>21.88</v>
      </c>
      <c r="G171" s="25">
        <f>IFERROR(__xludf.DUMMYFUNCTION("""COMPUTED_VALUE"""),22.18)</f>
        <v>22.18</v>
      </c>
      <c r="H171" s="25">
        <f>IFERROR(__xludf.DUMMYFUNCTION("""COMPUTED_VALUE"""),9.4578691E7)</f>
        <v>94578691</v>
      </c>
      <c r="I171" s="31">
        <f t="shared" si="4"/>
        <v>20.24809524</v>
      </c>
    </row>
    <row r="172">
      <c r="C172" s="27">
        <f>IFERROR(__xludf.DUMMYFUNCTION("""COMPUTED_VALUE"""),45790.66666666667)</f>
        <v>45790.66667</v>
      </c>
      <c r="D172" s="25">
        <f>IFERROR(__xludf.DUMMYFUNCTION("""COMPUTED_VALUE"""),22.36)</f>
        <v>22.36</v>
      </c>
      <c r="E172" s="25">
        <f>IFERROR(__xludf.DUMMYFUNCTION("""COMPUTED_VALUE"""),22.88)</f>
        <v>22.88</v>
      </c>
      <c r="F172" s="25">
        <f>IFERROR(__xludf.DUMMYFUNCTION("""COMPUTED_VALUE"""),22.3)</f>
        <v>22.3</v>
      </c>
      <c r="G172" s="25">
        <f>IFERROR(__xludf.DUMMYFUNCTION("""COMPUTED_VALUE"""),22.56)</f>
        <v>22.56</v>
      </c>
      <c r="H172" s="25">
        <f>IFERROR(__xludf.DUMMYFUNCTION("""COMPUTED_VALUE"""),7.6850385E7)</f>
        <v>76850385</v>
      </c>
      <c r="I172" s="31">
        <f t="shared" si="4"/>
        <v>20.38238095</v>
      </c>
    </row>
    <row r="173">
      <c r="C173" s="27">
        <f>IFERROR(__xludf.DUMMYFUNCTION("""COMPUTED_VALUE"""),45791.66666666667)</f>
        <v>45791.66667</v>
      </c>
      <c r="D173" s="25">
        <f>IFERROR(__xludf.DUMMYFUNCTION("""COMPUTED_VALUE"""),22.35)</f>
        <v>22.35</v>
      </c>
      <c r="E173" s="25">
        <f>IFERROR(__xludf.DUMMYFUNCTION("""COMPUTED_VALUE"""),22.46)</f>
        <v>22.46</v>
      </c>
      <c r="F173" s="25">
        <f>IFERROR(__xludf.DUMMYFUNCTION("""COMPUTED_VALUE"""),21.46)</f>
        <v>21.46</v>
      </c>
      <c r="G173" s="25">
        <f>IFERROR(__xludf.DUMMYFUNCTION("""COMPUTED_VALUE"""),21.52)</f>
        <v>21.52</v>
      </c>
      <c r="H173" s="25">
        <f>IFERROR(__xludf.DUMMYFUNCTION("""COMPUTED_VALUE"""),9.1584827E7)</f>
        <v>91584827</v>
      </c>
      <c r="I173" s="31">
        <f t="shared" si="4"/>
        <v>20.44</v>
      </c>
    </row>
    <row r="174">
      <c r="C174" s="27">
        <f>IFERROR(__xludf.DUMMYFUNCTION("""COMPUTED_VALUE"""),45792.66666666667)</f>
        <v>45792.66667</v>
      </c>
      <c r="D174" s="25">
        <f>IFERROR(__xludf.DUMMYFUNCTION("""COMPUTED_VALUE"""),21.23)</f>
        <v>21.23</v>
      </c>
      <c r="E174" s="25">
        <f>IFERROR(__xludf.DUMMYFUNCTION("""COMPUTED_VALUE"""),21.63)</f>
        <v>21.63</v>
      </c>
      <c r="F174" s="25">
        <f>IFERROR(__xludf.DUMMYFUNCTION("""COMPUTED_VALUE"""),21.19)</f>
        <v>21.19</v>
      </c>
      <c r="G174" s="25">
        <f>IFERROR(__xludf.DUMMYFUNCTION("""COMPUTED_VALUE"""),21.55)</f>
        <v>21.55</v>
      </c>
      <c r="H174" s="25">
        <f>IFERROR(__xludf.DUMMYFUNCTION("""COMPUTED_VALUE"""),6.6705457E7)</f>
        <v>66705457</v>
      </c>
      <c r="I174" s="31">
        <f t="shared" si="4"/>
        <v>20.52095238</v>
      </c>
    </row>
    <row r="175">
      <c r="C175" s="27">
        <f>IFERROR(__xludf.DUMMYFUNCTION("""COMPUTED_VALUE"""),45793.66666666667)</f>
        <v>45793.66667</v>
      </c>
      <c r="D175" s="25">
        <f>IFERROR(__xludf.DUMMYFUNCTION("""COMPUTED_VALUE"""),21.53)</f>
        <v>21.53</v>
      </c>
      <c r="E175" s="25">
        <f>IFERROR(__xludf.DUMMYFUNCTION("""COMPUTED_VALUE"""),21.76)</f>
        <v>21.76</v>
      </c>
      <c r="F175" s="25">
        <f>IFERROR(__xludf.DUMMYFUNCTION("""COMPUTED_VALUE"""),21.35)</f>
        <v>21.35</v>
      </c>
      <c r="G175" s="25">
        <f>IFERROR(__xludf.DUMMYFUNCTION("""COMPUTED_VALUE"""),21.66)</f>
        <v>21.66</v>
      </c>
      <c r="H175" s="25">
        <f>IFERROR(__xludf.DUMMYFUNCTION("""COMPUTED_VALUE"""),5.5795144E7)</f>
        <v>55795144</v>
      </c>
      <c r="I175" s="31">
        <f t="shared" si="4"/>
        <v>20.63666667</v>
      </c>
    </row>
    <row r="176">
      <c r="C176" s="27">
        <f>IFERROR(__xludf.DUMMYFUNCTION("""COMPUTED_VALUE"""),45796.66666666667)</f>
        <v>45796.66667</v>
      </c>
      <c r="D176" s="25">
        <f>IFERROR(__xludf.DUMMYFUNCTION("""COMPUTED_VALUE"""),21.18)</f>
        <v>21.18</v>
      </c>
      <c r="E176" s="25">
        <f>IFERROR(__xludf.DUMMYFUNCTION("""COMPUTED_VALUE"""),21.56)</f>
        <v>21.56</v>
      </c>
      <c r="F176" s="25">
        <f>IFERROR(__xludf.DUMMYFUNCTION("""COMPUTED_VALUE"""),21.05)</f>
        <v>21.05</v>
      </c>
      <c r="G176" s="25">
        <f>IFERROR(__xludf.DUMMYFUNCTION("""COMPUTED_VALUE"""),21.38)</f>
        <v>21.38</v>
      </c>
      <c r="H176" s="25">
        <f>IFERROR(__xludf.DUMMYFUNCTION("""COMPUTED_VALUE"""),6.4279077E7)</f>
        <v>64279077</v>
      </c>
      <c r="I176" s="31">
        <f t="shared" si="4"/>
        <v>20.75333333</v>
      </c>
    </row>
    <row r="177">
      <c r="C177" s="27">
        <f>IFERROR(__xludf.DUMMYFUNCTION("""COMPUTED_VALUE"""),45797.66666666667)</f>
        <v>45797.66667</v>
      </c>
      <c r="D177" s="25">
        <f>IFERROR(__xludf.DUMMYFUNCTION("""COMPUTED_VALUE"""),21.33)</f>
        <v>21.33</v>
      </c>
      <c r="E177" s="25">
        <f>IFERROR(__xludf.DUMMYFUNCTION("""COMPUTED_VALUE"""),21.41)</f>
        <v>21.41</v>
      </c>
      <c r="F177" s="25">
        <f>IFERROR(__xludf.DUMMYFUNCTION("""COMPUTED_VALUE"""),21.12)</f>
        <v>21.12</v>
      </c>
      <c r="G177" s="25">
        <f>IFERROR(__xludf.DUMMYFUNCTION("""COMPUTED_VALUE"""),21.27)</f>
        <v>21.27</v>
      </c>
      <c r="H177" s="25">
        <f>IFERROR(__xludf.DUMMYFUNCTION("""COMPUTED_VALUE"""),4.8497384E7)</f>
        <v>48497384</v>
      </c>
      <c r="I177" s="31">
        <f t="shared" si="4"/>
        <v>20.86904762</v>
      </c>
    </row>
    <row r="178">
      <c r="C178" s="27">
        <f>IFERROR(__xludf.DUMMYFUNCTION("""COMPUTED_VALUE"""),45798.66666666667)</f>
        <v>45798.66667</v>
      </c>
      <c r="D178" s="25">
        <f>IFERROR(__xludf.DUMMYFUNCTION("""COMPUTED_VALUE"""),21.19)</f>
        <v>21.19</v>
      </c>
      <c r="E178" s="25">
        <f>IFERROR(__xludf.DUMMYFUNCTION("""COMPUTED_VALUE"""),21.63)</f>
        <v>21.63</v>
      </c>
      <c r="F178" s="25">
        <f>IFERROR(__xludf.DUMMYFUNCTION("""COMPUTED_VALUE"""),20.59)</f>
        <v>20.59</v>
      </c>
      <c r="G178" s="25">
        <f>IFERROR(__xludf.DUMMYFUNCTION("""COMPUTED_VALUE"""),20.69)</f>
        <v>20.69</v>
      </c>
      <c r="H178" s="25">
        <f>IFERROR(__xludf.DUMMYFUNCTION("""COMPUTED_VALUE"""),6.2904697E7)</f>
        <v>62904697</v>
      </c>
      <c r="I178" s="31">
        <f t="shared" si="4"/>
        <v>20.9252381</v>
      </c>
    </row>
    <row r="179">
      <c r="C179" s="27">
        <f>IFERROR(__xludf.DUMMYFUNCTION("""COMPUTED_VALUE"""),45799.66666666667)</f>
        <v>45799.66667</v>
      </c>
      <c r="D179" s="25">
        <f>IFERROR(__xludf.DUMMYFUNCTION("""COMPUTED_VALUE"""),21.19)</f>
        <v>21.19</v>
      </c>
      <c r="E179" s="25">
        <f>IFERROR(__xludf.DUMMYFUNCTION("""COMPUTED_VALUE"""),21.63)</f>
        <v>21.63</v>
      </c>
      <c r="F179" s="25">
        <f>IFERROR(__xludf.DUMMYFUNCTION("""COMPUTED_VALUE"""),20.59)</f>
        <v>20.59</v>
      </c>
      <c r="G179" s="25">
        <f>IFERROR(__xludf.DUMMYFUNCTION("""COMPUTED_VALUE"""),20.69)</f>
        <v>20.69</v>
      </c>
      <c r="H179" s="25">
        <f>IFERROR(__xludf.DUMMYFUNCTION("""COMPUTED_VALUE"""),1347701.0)</f>
        <v>1347701</v>
      </c>
      <c r="I179" s="31">
        <f t="shared" si="4"/>
        <v>20.93</v>
      </c>
    </row>
    <row r="180">
      <c r="C180" s="27">
        <f>IFERROR(__xludf.DUMMYFUNCTION("""COMPUTED_VALUE"""),45800.66666666667)</f>
        <v>45800.66667</v>
      </c>
      <c r="D180" s="25">
        <f>IFERROR(__xludf.DUMMYFUNCTION("""COMPUTED_VALUE"""),20.16)</f>
        <v>20.16</v>
      </c>
      <c r="E180" s="25">
        <f>IFERROR(__xludf.DUMMYFUNCTION("""COMPUTED_VALUE"""),20.27)</f>
        <v>20.27</v>
      </c>
      <c r="F180" s="25">
        <f>IFERROR(__xludf.DUMMYFUNCTION("""COMPUTED_VALUE"""),19.94)</f>
        <v>19.94</v>
      </c>
      <c r="G180" s="25">
        <f>IFERROR(__xludf.DUMMYFUNCTION("""COMPUTED_VALUE"""),20.05)</f>
        <v>20.05</v>
      </c>
      <c r="H180" s="25">
        <f>IFERROR(__xludf.DUMMYFUNCTION("""COMPUTED_VALUE"""),6.8206064E7)</f>
        <v>68206064</v>
      </c>
      <c r="I180" s="31">
        <f t="shared" si="4"/>
        <v>20.86142857</v>
      </c>
    </row>
    <row r="181">
      <c r="C181" s="27">
        <f>IFERROR(__xludf.DUMMYFUNCTION("""COMPUTED_VALUE"""),45804.66666666667)</f>
        <v>45804.66667</v>
      </c>
      <c r="D181" s="25">
        <f>IFERROR(__xludf.DUMMYFUNCTION("""COMPUTED_VALUE"""),20.44)</f>
        <v>20.44</v>
      </c>
      <c r="E181" s="25">
        <f>IFERROR(__xludf.DUMMYFUNCTION("""COMPUTED_VALUE"""),20.67)</f>
        <v>20.67</v>
      </c>
      <c r="F181" s="25">
        <f>IFERROR(__xludf.DUMMYFUNCTION("""COMPUTED_VALUE"""),20.18)</f>
        <v>20.18</v>
      </c>
      <c r="G181" s="25">
        <f>IFERROR(__xludf.DUMMYFUNCTION("""COMPUTED_VALUE"""),20.55)</f>
        <v>20.55</v>
      </c>
      <c r="H181" s="25">
        <f>IFERROR(__xludf.DUMMYFUNCTION("""COMPUTED_VALUE"""),6.9504564E7)</f>
        <v>69504564</v>
      </c>
      <c r="I181" s="31">
        <f t="shared" si="4"/>
        <v>20.8852381</v>
      </c>
    </row>
    <row r="182">
      <c r="C182" s="27">
        <f>IFERROR(__xludf.DUMMYFUNCTION("""COMPUTED_VALUE"""),45805.66666666667)</f>
        <v>45805.66667</v>
      </c>
      <c r="D182" s="25">
        <f>IFERROR(__xludf.DUMMYFUNCTION("""COMPUTED_VALUE"""),20.57)</f>
        <v>20.57</v>
      </c>
      <c r="E182" s="25">
        <f>IFERROR(__xludf.DUMMYFUNCTION("""COMPUTED_VALUE"""),20.64)</f>
        <v>20.64</v>
      </c>
      <c r="F182" s="25">
        <f>IFERROR(__xludf.DUMMYFUNCTION("""COMPUTED_VALUE"""),20.33)</f>
        <v>20.33</v>
      </c>
      <c r="G182" s="25">
        <f>IFERROR(__xludf.DUMMYFUNCTION("""COMPUTED_VALUE"""),20.37)</f>
        <v>20.37</v>
      </c>
      <c r="H182" s="25">
        <f>IFERROR(__xludf.DUMMYFUNCTION("""COMPUTED_VALUE"""),4.6096476E7)</f>
        <v>46096476</v>
      </c>
      <c r="I182" s="31">
        <f t="shared" si="4"/>
        <v>20.87857143</v>
      </c>
    </row>
    <row r="183">
      <c r="C183" s="27">
        <f>IFERROR(__xludf.DUMMYFUNCTION("""COMPUTED_VALUE"""),45806.66666666667)</f>
        <v>45806.66667</v>
      </c>
      <c r="D183" s="25">
        <f>IFERROR(__xludf.DUMMYFUNCTION("""COMPUTED_VALUE"""),20.54)</f>
        <v>20.54</v>
      </c>
      <c r="E183" s="25">
        <f>IFERROR(__xludf.DUMMYFUNCTION("""COMPUTED_VALUE"""),20.6)</f>
        <v>20.6</v>
      </c>
      <c r="F183" s="25">
        <f>IFERROR(__xludf.DUMMYFUNCTION("""COMPUTED_VALUE"""),20.1)</f>
        <v>20.1</v>
      </c>
      <c r="G183" s="25">
        <f>IFERROR(__xludf.DUMMYFUNCTION("""COMPUTED_VALUE"""),20.25)</f>
        <v>20.25</v>
      </c>
      <c r="H183" s="25">
        <f>IFERROR(__xludf.DUMMYFUNCTION("""COMPUTED_VALUE"""),6.6485207E7)</f>
        <v>66485207</v>
      </c>
      <c r="I183" s="31">
        <f t="shared" si="4"/>
        <v>20.87428571</v>
      </c>
    </row>
    <row r="184">
      <c r="C184" s="27">
        <f>IFERROR(__xludf.DUMMYFUNCTION("""COMPUTED_VALUE"""),45807.66666666667)</f>
        <v>45807.66667</v>
      </c>
      <c r="D184" s="25">
        <f>IFERROR(__xludf.DUMMYFUNCTION("""COMPUTED_VALUE"""),20.26)</f>
        <v>20.26</v>
      </c>
      <c r="E184" s="25">
        <f>IFERROR(__xludf.DUMMYFUNCTION("""COMPUTED_VALUE"""),20.26)</f>
        <v>20.26</v>
      </c>
      <c r="F184" s="25">
        <f>IFERROR(__xludf.DUMMYFUNCTION("""COMPUTED_VALUE"""),19.31)</f>
        <v>19.31</v>
      </c>
      <c r="G184" s="25">
        <f>IFERROR(__xludf.DUMMYFUNCTION("""COMPUTED_VALUE"""),19.55)</f>
        <v>19.55</v>
      </c>
      <c r="H184" s="25">
        <f>IFERROR(__xludf.DUMMYFUNCTION("""COMPUTED_VALUE"""),1.14281897E8)</f>
        <v>114281897</v>
      </c>
      <c r="I184" s="31">
        <f t="shared" si="4"/>
        <v>20.84809524</v>
      </c>
    </row>
    <row r="185">
      <c r="C185" s="27">
        <f>IFERROR(__xludf.DUMMYFUNCTION("""COMPUTED_VALUE"""),45810.66666666667)</f>
        <v>45810.66667</v>
      </c>
      <c r="D185" s="25">
        <f>IFERROR(__xludf.DUMMYFUNCTION("""COMPUTED_VALUE"""),19.48)</f>
        <v>19.48</v>
      </c>
      <c r="E185" s="25">
        <f>IFERROR(__xludf.DUMMYFUNCTION("""COMPUTED_VALUE"""),19.82)</f>
        <v>19.82</v>
      </c>
      <c r="F185" s="25">
        <f>IFERROR(__xludf.DUMMYFUNCTION("""COMPUTED_VALUE"""),19.37)</f>
        <v>19.37</v>
      </c>
      <c r="G185" s="25">
        <f>IFERROR(__xludf.DUMMYFUNCTION("""COMPUTED_VALUE"""),19.74)</f>
        <v>19.74</v>
      </c>
      <c r="H185" s="25">
        <f>IFERROR(__xludf.DUMMYFUNCTION("""COMPUTED_VALUE"""),6.7885473E7)</f>
        <v>67885473</v>
      </c>
      <c r="I185" s="31">
        <f t="shared" si="4"/>
        <v>20.83666667</v>
      </c>
    </row>
    <row r="186">
      <c r="C186" s="27">
        <f>IFERROR(__xludf.DUMMYFUNCTION("""COMPUTED_VALUE"""),45811.66666666667)</f>
        <v>45811.66667</v>
      </c>
      <c r="D186" s="25">
        <f>IFERROR(__xludf.DUMMYFUNCTION("""COMPUTED_VALUE"""),19.75)</f>
        <v>19.75</v>
      </c>
      <c r="E186" s="25">
        <f>IFERROR(__xludf.DUMMYFUNCTION("""COMPUTED_VALUE"""),20.41)</f>
        <v>20.41</v>
      </c>
      <c r="F186" s="25">
        <f>IFERROR(__xludf.DUMMYFUNCTION("""COMPUTED_VALUE"""),19.4)</f>
        <v>19.4</v>
      </c>
      <c r="G186" s="25">
        <f>IFERROR(__xludf.DUMMYFUNCTION("""COMPUTED_VALUE"""),20.29)</f>
        <v>20.29</v>
      </c>
      <c r="H186" s="25">
        <f>IFERROR(__xludf.DUMMYFUNCTION("""COMPUTED_VALUE"""),8.0401865E7)</f>
        <v>80401865</v>
      </c>
      <c r="I186" s="31">
        <f t="shared" si="4"/>
        <v>20.82095238</v>
      </c>
    </row>
    <row r="187">
      <c r="C187" s="27">
        <f>IFERROR(__xludf.DUMMYFUNCTION("""COMPUTED_VALUE"""),45812.66666666667)</f>
        <v>45812.66667</v>
      </c>
      <c r="D187" s="25">
        <f>IFERROR(__xludf.DUMMYFUNCTION("""COMPUTED_VALUE"""),20.34)</f>
        <v>20.34</v>
      </c>
      <c r="E187" s="25">
        <f>IFERROR(__xludf.DUMMYFUNCTION("""COMPUTED_VALUE"""),20.5)</f>
        <v>20.5</v>
      </c>
      <c r="F187" s="25">
        <f>IFERROR(__xludf.DUMMYFUNCTION("""COMPUTED_VALUE"""),20.01)</f>
        <v>20.01</v>
      </c>
      <c r="G187" s="25">
        <f>IFERROR(__xludf.DUMMYFUNCTION("""COMPUTED_VALUE"""),20.25)</f>
        <v>20.25</v>
      </c>
      <c r="H187" s="25">
        <f>IFERROR(__xludf.DUMMYFUNCTION("""COMPUTED_VALUE"""),7.1166549E7)</f>
        <v>71166549</v>
      </c>
      <c r="I187" s="31">
        <f t="shared" si="4"/>
        <v>20.82</v>
      </c>
    </row>
    <row r="188">
      <c r="C188" s="27">
        <f>IFERROR(__xludf.DUMMYFUNCTION("""COMPUTED_VALUE"""),45813.66666666667)</f>
        <v>45813.66667</v>
      </c>
      <c r="D188" s="25">
        <f>IFERROR(__xludf.DUMMYFUNCTION("""COMPUTED_VALUE"""),20.27)</f>
        <v>20.27</v>
      </c>
      <c r="E188" s="25">
        <f>IFERROR(__xludf.DUMMYFUNCTION("""COMPUTED_VALUE"""),20.55)</f>
        <v>20.55</v>
      </c>
      <c r="F188" s="25">
        <f>IFERROR(__xludf.DUMMYFUNCTION("""COMPUTED_VALUE"""),19.85)</f>
        <v>19.85</v>
      </c>
      <c r="G188" s="25">
        <f>IFERROR(__xludf.DUMMYFUNCTION("""COMPUTED_VALUE"""),19.99)</f>
        <v>19.99</v>
      </c>
      <c r="H188" s="25">
        <f>IFERROR(__xludf.DUMMYFUNCTION("""COMPUTED_VALUE"""),7.2595606E7)</f>
        <v>72595606</v>
      </c>
      <c r="I188" s="31">
        <f t="shared" si="4"/>
        <v>20.82238095</v>
      </c>
    </row>
    <row r="189">
      <c r="C189" s="27">
        <f>IFERROR(__xludf.DUMMYFUNCTION("""COMPUTED_VALUE"""),45814.66666666667)</f>
        <v>45814.66667</v>
      </c>
      <c r="D189" s="25">
        <f>IFERROR(__xludf.DUMMYFUNCTION("""COMPUTED_VALUE"""),20.17)</f>
        <v>20.17</v>
      </c>
      <c r="E189" s="25">
        <f>IFERROR(__xludf.DUMMYFUNCTION("""COMPUTED_VALUE"""),20.44)</f>
        <v>20.44</v>
      </c>
      <c r="F189" s="25">
        <f>IFERROR(__xludf.DUMMYFUNCTION("""COMPUTED_VALUE"""),20.03)</f>
        <v>20.03</v>
      </c>
      <c r="G189" s="25">
        <f>IFERROR(__xludf.DUMMYFUNCTION("""COMPUTED_VALUE"""),20.06)</f>
        <v>20.06</v>
      </c>
      <c r="H189" s="25">
        <f>IFERROR(__xludf.DUMMYFUNCTION("""COMPUTED_VALUE"""),7.0072846E7)</f>
        <v>70072846</v>
      </c>
      <c r="I189" s="31">
        <f t="shared" si="4"/>
        <v>20.81047619</v>
      </c>
    </row>
    <row r="190">
      <c r="C190" s="27">
        <f>IFERROR(__xludf.DUMMYFUNCTION("""COMPUTED_VALUE"""),45817.66666666667)</f>
        <v>45817.66667</v>
      </c>
      <c r="D190" s="25">
        <f>IFERROR(__xludf.DUMMYFUNCTION("""COMPUTED_VALUE"""),20.22)</f>
        <v>20.22</v>
      </c>
      <c r="E190" s="25">
        <f>IFERROR(__xludf.DUMMYFUNCTION("""COMPUTED_VALUE"""),20.96)</f>
        <v>20.96</v>
      </c>
      <c r="F190" s="25">
        <f>IFERROR(__xludf.DUMMYFUNCTION("""COMPUTED_VALUE"""),20.22)</f>
        <v>20.22</v>
      </c>
      <c r="G190" s="25">
        <f>IFERROR(__xludf.DUMMYFUNCTION("""COMPUTED_VALUE"""),20.48)</f>
        <v>20.48</v>
      </c>
      <c r="H190" s="25">
        <f>IFERROR(__xludf.DUMMYFUNCTION("""COMPUTED_VALUE"""),9.2893898E7)</f>
        <v>92893898</v>
      </c>
      <c r="I190" s="31">
        <f t="shared" si="4"/>
        <v>20.78571429</v>
      </c>
    </row>
    <row r="191">
      <c r="C191" s="27">
        <f>IFERROR(__xludf.DUMMYFUNCTION("""COMPUTED_VALUE"""),45818.66666666667)</f>
        <v>45818.66667</v>
      </c>
      <c r="D191" s="25">
        <f>IFERROR(__xludf.DUMMYFUNCTION("""COMPUTED_VALUE"""),20.5)</f>
        <v>20.5</v>
      </c>
      <c r="E191" s="25">
        <f>IFERROR(__xludf.DUMMYFUNCTION("""COMPUTED_VALUE"""),22.44)</f>
        <v>22.44</v>
      </c>
      <c r="F191" s="25">
        <f>IFERROR(__xludf.DUMMYFUNCTION("""COMPUTED_VALUE"""),20.28)</f>
        <v>20.28</v>
      </c>
      <c r="G191" s="25">
        <f>IFERROR(__xludf.DUMMYFUNCTION("""COMPUTED_VALUE"""),22.08)</f>
        <v>22.08</v>
      </c>
      <c r="H191" s="25">
        <f>IFERROR(__xludf.DUMMYFUNCTION("""COMPUTED_VALUE"""),1.71457008E8)</f>
        <v>171457008</v>
      </c>
      <c r="I191" s="31">
        <f t="shared" si="4"/>
        <v>20.81714286</v>
      </c>
    </row>
    <row r="192">
      <c r="C192" s="27">
        <f>IFERROR(__xludf.DUMMYFUNCTION("""COMPUTED_VALUE"""),45819.66666666667)</f>
        <v>45819.66667</v>
      </c>
      <c r="D192" s="25">
        <f>IFERROR(__xludf.DUMMYFUNCTION("""COMPUTED_VALUE"""),21.78)</f>
        <v>21.78</v>
      </c>
      <c r="E192" s="25">
        <f>IFERROR(__xludf.DUMMYFUNCTION("""COMPUTED_VALUE"""),21.83)</f>
        <v>21.83</v>
      </c>
      <c r="F192" s="25">
        <f>IFERROR(__xludf.DUMMYFUNCTION("""COMPUTED_VALUE"""),20.38)</f>
        <v>20.38</v>
      </c>
      <c r="G192" s="25">
        <f>IFERROR(__xludf.DUMMYFUNCTION("""COMPUTED_VALUE"""),20.68)</f>
        <v>20.68</v>
      </c>
      <c r="H192" s="25">
        <f>IFERROR(__xludf.DUMMYFUNCTION("""COMPUTED_VALUE"""),1.46784468E8)</f>
        <v>146784468</v>
      </c>
      <c r="I192" s="31">
        <f t="shared" si="4"/>
        <v>20.74571429</v>
      </c>
    </row>
    <row r="193">
      <c r="C193" s="27">
        <f>IFERROR(__xludf.DUMMYFUNCTION("""COMPUTED_VALUE"""),45820.66666666667)</f>
        <v>45820.66667</v>
      </c>
      <c r="D193" s="25">
        <f>IFERROR(__xludf.DUMMYFUNCTION("""COMPUTED_VALUE"""),20.5)</f>
        <v>20.5</v>
      </c>
      <c r="E193" s="25">
        <f>IFERROR(__xludf.DUMMYFUNCTION("""COMPUTED_VALUE"""),20.98)</f>
        <v>20.98</v>
      </c>
      <c r="F193" s="25">
        <f>IFERROR(__xludf.DUMMYFUNCTION("""COMPUTED_VALUE"""),20.41)</f>
        <v>20.41</v>
      </c>
      <c r="G193" s="25">
        <f>IFERROR(__xludf.DUMMYFUNCTION("""COMPUTED_VALUE"""),20.77)</f>
        <v>20.77</v>
      </c>
      <c r="H193" s="25">
        <f>IFERROR(__xludf.DUMMYFUNCTION("""COMPUTED_VALUE"""),7.8175914E7)</f>
        <v>78175914</v>
      </c>
      <c r="I193" s="31">
        <f t="shared" si="4"/>
        <v>20.66047619</v>
      </c>
    </row>
    <row r="194">
      <c r="C194" s="27">
        <f>IFERROR(__xludf.DUMMYFUNCTION("""COMPUTED_VALUE"""),45821.66666666667)</f>
        <v>45821.66667</v>
      </c>
      <c r="D194" s="25">
        <f>IFERROR(__xludf.DUMMYFUNCTION("""COMPUTED_VALUE"""),20.33)</f>
        <v>20.33</v>
      </c>
      <c r="E194" s="25">
        <f>IFERROR(__xludf.DUMMYFUNCTION("""COMPUTED_VALUE"""),20.6)</f>
        <v>20.6</v>
      </c>
      <c r="F194" s="25">
        <f>IFERROR(__xludf.DUMMYFUNCTION("""COMPUTED_VALUE"""),20.1)</f>
        <v>20.1</v>
      </c>
      <c r="G194" s="25">
        <f>IFERROR(__xludf.DUMMYFUNCTION("""COMPUTED_VALUE"""),20.14)</f>
        <v>20.14</v>
      </c>
      <c r="H194" s="25">
        <f>IFERROR(__xludf.DUMMYFUNCTION("""COMPUTED_VALUE"""),8.7655889E7)</f>
        <v>87655889</v>
      </c>
      <c r="I194" s="31">
        <f t="shared" si="4"/>
        <v>20.5947619</v>
      </c>
    </row>
    <row r="195">
      <c r="C195" s="27">
        <f>IFERROR(__xludf.DUMMYFUNCTION("""COMPUTED_VALUE"""),45824.66666666667)</f>
        <v>45824.66667</v>
      </c>
      <c r="D195" s="25">
        <f>IFERROR(__xludf.DUMMYFUNCTION("""COMPUTED_VALUE"""),20.41)</f>
        <v>20.41</v>
      </c>
      <c r="E195" s="25">
        <f>IFERROR(__xludf.DUMMYFUNCTION("""COMPUTED_VALUE"""),20.93)</f>
        <v>20.93</v>
      </c>
      <c r="F195" s="25">
        <f>IFERROR(__xludf.DUMMYFUNCTION("""COMPUTED_VALUE"""),20.3)</f>
        <v>20.3</v>
      </c>
      <c r="G195" s="25">
        <f>IFERROR(__xludf.DUMMYFUNCTION("""COMPUTED_VALUE"""),20.74)</f>
        <v>20.74</v>
      </c>
      <c r="H195" s="25">
        <f>IFERROR(__xludf.DUMMYFUNCTION("""COMPUTED_VALUE"""),8.6745123E7)</f>
        <v>86745123</v>
      </c>
      <c r="I195" s="31">
        <f t="shared" si="4"/>
        <v>20.55619048</v>
      </c>
    </row>
    <row r="196">
      <c r="C196" s="27">
        <f>IFERROR(__xludf.DUMMYFUNCTION("""COMPUTED_VALUE"""),45825.66666666667)</f>
        <v>45825.66667</v>
      </c>
      <c r="D196" s="25">
        <f>IFERROR(__xludf.DUMMYFUNCTION("""COMPUTED_VALUE"""),20.63)</f>
        <v>20.63</v>
      </c>
      <c r="E196" s="25">
        <f>IFERROR(__xludf.DUMMYFUNCTION("""COMPUTED_VALUE"""),21.48)</f>
        <v>21.48</v>
      </c>
      <c r="F196" s="25">
        <f>IFERROR(__xludf.DUMMYFUNCTION("""COMPUTED_VALUE"""),20.62)</f>
        <v>20.62</v>
      </c>
      <c r="G196" s="25">
        <f>IFERROR(__xludf.DUMMYFUNCTION("""COMPUTED_VALUE"""),20.8)</f>
        <v>20.8</v>
      </c>
      <c r="H196" s="25">
        <f>IFERROR(__xludf.DUMMYFUNCTION("""COMPUTED_VALUE"""),8.7512156E7)</f>
        <v>87512156</v>
      </c>
      <c r="I196" s="31">
        <f t="shared" si="4"/>
        <v>20.5152381</v>
      </c>
    </row>
    <row r="197">
      <c r="C197" s="27">
        <f>IFERROR(__xludf.DUMMYFUNCTION("""COMPUTED_VALUE"""),45826.66666666667)</f>
        <v>45826.66667</v>
      </c>
      <c r="D197" s="25">
        <f>IFERROR(__xludf.DUMMYFUNCTION("""COMPUTED_VALUE"""),20.81)</f>
        <v>20.81</v>
      </c>
      <c r="E197" s="25">
        <f>IFERROR(__xludf.DUMMYFUNCTION("""COMPUTED_VALUE"""),21.6)</f>
        <v>21.6</v>
      </c>
      <c r="F197" s="25">
        <f>IFERROR(__xludf.DUMMYFUNCTION("""COMPUTED_VALUE"""),20.66)</f>
        <v>20.66</v>
      </c>
      <c r="G197" s="25">
        <f>IFERROR(__xludf.DUMMYFUNCTION("""COMPUTED_VALUE"""),21.49)</f>
        <v>21.49</v>
      </c>
      <c r="H197" s="25">
        <f>IFERROR(__xludf.DUMMYFUNCTION("""COMPUTED_VALUE"""),9.4200572E7)</f>
        <v>94200572</v>
      </c>
      <c r="I197" s="31">
        <f t="shared" si="4"/>
        <v>20.52047619</v>
      </c>
    </row>
    <row r="198">
      <c r="C198" s="27">
        <f>IFERROR(__xludf.DUMMYFUNCTION("""COMPUTED_VALUE"""),45828.66666666667)</f>
        <v>45828.66667</v>
      </c>
      <c r="D198" s="25">
        <f>IFERROR(__xludf.DUMMYFUNCTION("""COMPUTED_VALUE"""),21.7)</f>
        <v>21.7</v>
      </c>
      <c r="E198" s="25">
        <f>IFERROR(__xludf.DUMMYFUNCTION("""COMPUTED_VALUE"""),21.89)</f>
        <v>21.89</v>
      </c>
      <c r="F198" s="25">
        <f>IFERROR(__xludf.DUMMYFUNCTION("""COMPUTED_VALUE"""),20.88)</f>
        <v>20.88</v>
      </c>
      <c r="G198" s="25">
        <f>IFERROR(__xludf.DUMMYFUNCTION("""COMPUTED_VALUE"""),21.08)</f>
        <v>21.08</v>
      </c>
      <c r="H198" s="25">
        <f>IFERROR(__xludf.DUMMYFUNCTION("""COMPUTED_VALUE"""),1.33472814E8)</f>
        <v>133472814</v>
      </c>
      <c r="I198" s="31">
        <f t="shared" si="4"/>
        <v>20.51142857</v>
      </c>
    </row>
    <row r="199">
      <c r="C199" s="27">
        <f>IFERROR(__xludf.DUMMYFUNCTION("""COMPUTED_VALUE"""),45831.66666666667)</f>
        <v>45831.66667</v>
      </c>
      <c r="D199" s="25">
        <f>IFERROR(__xludf.DUMMYFUNCTION("""COMPUTED_VALUE"""),21.07)</f>
        <v>21.07</v>
      </c>
      <c r="E199" s="25">
        <f>IFERROR(__xludf.DUMMYFUNCTION("""COMPUTED_VALUE"""),21.58)</f>
        <v>21.58</v>
      </c>
      <c r="F199" s="25">
        <f>IFERROR(__xludf.DUMMYFUNCTION("""COMPUTED_VALUE"""),20.73)</f>
        <v>20.73</v>
      </c>
      <c r="G199" s="25">
        <f>IFERROR(__xludf.DUMMYFUNCTION("""COMPUTED_VALUE"""),21.19)</f>
        <v>21.19</v>
      </c>
      <c r="H199" s="25">
        <f>IFERROR(__xludf.DUMMYFUNCTION("""COMPUTED_VALUE"""),8.1460982E7)</f>
        <v>81460982</v>
      </c>
      <c r="I199" s="31">
        <f t="shared" si="4"/>
        <v>20.5352381</v>
      </c>
    </row>
    <row r="200">
      <c r="C200" s="27">
        <f>IFERROR(__xludf.DUMMYFUNCTION("""COMPUTED_VALUE"""),45832.66666666667)</f>
        <v>45832.66667</v>
      </c>
      <c r="D200" s="25">
        <f>IFERROR(__xludf.DUMMYFUNCTION("""COMPUTED_VALUE"""),21.34)</f>
        <v>21.34</v>
      </c>
      <c r="E200" s="25">
        <f>IFERROR(__xludf.DUMMYFUNCTION("""COMPUTED_VALUE"""),22.69)</f>
        <v>22.69</v>
      </c>
      <c r="F200" s="25">
        <f>IFERROR(__xludf.DUMMYFUNCTION("""COMPUTED_VALUE"""),21.33)</f>
        <v>21.33</v>
      </c>
      <c r="G200" s="25">
        <f>IFERROR(__xludf.DUMMYFUNCTION("""COMPUTED_VALUE"""),22.55)</f>
        <v>22.55</v>
      </c>
      <c r="H200" s="25">
        <f>IFERROR(__xludf.DUMMYFUNCTION("""COMPUTED_VALUE"""),1.30368742E8)</f>
        <v>130368742</v>
      </c>
      <c r="I200" s="31">
        <f t="shared" si="4"/>
        <v>20.62380952</v>
      </c>
    </row>
    <row r="201">
      <c r="C201" s="27">
        <f>IFERROR(__xludf.DUMMYFUNCTION("""COMPUTED_VALUE"""),45833.66666666667)</f>
        <v>45833.66667</v>
      </c>
      <c r="D201" s="25">
        <f>IFERROR(__xludf.DUMMYFUNCTION("""COMPUTED_VALUE"""),22.58)</f>
        <v>22.58</v>
      </c>
      <c r="E201" s="25">
        <f>IFERROR(__xludf.DUMMYFUNCTION("""COMPUTED_VALUE"""),22.77)</f>
        <v>22.77</v>
      </c>
      <c r="F201" s="25">
        <f>IFERROR(__xludf.DUMMYFUNCTION("""COMPUTED_VALUE"""),22.13)</f>
        <v>22.13</v>
      </c>
      <c r="G201" s="25">
        <f>IFERROR(__xludf.DUMMYFUNCTION("""COMPUTED_VALUE"""),22.2)</f>
        <v>22.2</v>
      </c>
      <c r="H201" s="25">
        <f>IFERROR(__xludf.DUMMYFUNCTION("""COMPUTED_VALUE"""),6.4975117E7)</f>
        <v>64975117</v>
      </c>
      <c r="I201" s="31">
        <f t="shared" si="4"/>
        <v>20.72619048</v>
      </c>
    </row>
    <row r="202">
      <c r="C202" s="27">
        <f>IFERROR(__xludf.DUMMYFUNCTION("""COMPUTED_VALUE"""),45834.66666666667)</f>
        <v>45834.66667</v>
      </c>
      <c r="D202" s="25">
        <f>IFERROR(__xludf.DUMMYFUNCTION("""COMPUTED_VALUE"""),22.4)</f>
        <v>22.4</v>
      </c>
      <c r="E202" s="25">
        <f>IFERROR(__xludf.DUMMYFUNCTION("""COMPUTED_VALUE"""),22.62)</f>
        <v>22.62</v>
      </c>
      <c r="F202" s="25">
        <f>IFERROR(__xludf.DUMMYFUNCTION("""COMPUTED_VALUE"""),22.21)</f>
        <v>22.21</v>
      </c>
      <c r="G202" s="25">
        <f>IFERROR(__xludf.DUMMYFUNCTION("""COMPUTED_VALUE"""),22.5)</f>
        <v>22.5</v>
      </c>
      <c r="H202" s="25">
        <f>IFERROR(__xludf.DUMMYFUNCTION("""COMPUTED_VALUE"""),6.3229338E7)</f>
        <v>63229338</v>
      </c>
      <c r="I202" s="31">
        <f t="shared" si="4"/>
        <v>20.81904762</v>
      </c>
    </row>
    <row r="203">
      <c r="C203" s="27">
        <f>IFERROR(__xludf.DUMMYFUNCTION("""COMPUTED_VALUE"""),45835.66666666667)</f>
        <v>45835.66667</v>
      </c>
      <c r="D203" s="25">
        <f>IFERROR(__xludf.DUMMYFUNCTION("""COMPUTED_VALUE"""),22.71)</f>
        <v>22.71</v>
      </c>
      <c r="E203" s="25">
        <f>IFERROR(__xludf.DUMMYFUNCTION("""COMPUTED_VALUE"""),23.38)</f>
        <v>23.38</v>
      </c>
      <c r="F203" s="25">
        <f>IFERROR(__xludf.DUMMYFUNCTION("""COMPUTED_VALUE"""),22.42)</f>
        <v>22.42</v>
      </c>
      <c r="G203" s="25">
        <f>IFERROR(__xludf.DUMMYFUNCTION("""COMPUTED_VALUE"""),22.69)</f>
        <v>22.69</v>
      </c>
      <c r="H203" s="25">
        <f>IFERROR(__xludf.DUMMYFUNCTION("""COMPUTED_VALUE"""),9.5542384E7)</f>
        <v>95542384</v>
      </c>
      <c r="I203" s="31">
        <f t="shared" si="4"/>
        <v>20.92952381</v>
      </c>
    </row>
    <row r="204">
      <c r="C204" s="27">
        <f>IFERROR(__xludf.DUMMYFUNCTION("""COMPUTED_VALUE"""),45838.66666666667)</f>
        <v>45838.66667</v>
      </c>
      <c r="D204" s="25">
        <f>IFERROR(__xludf.DUMMYFUNCTION("""COMPUTED_VALUE"""),22.97)</f>
        <v>22.97</v>
      </c>
      <c r="E204" s="25">
        <f>IFERROR(__xludf.DUMMYFUNCTION("""COMPUTED_VALUE"""),22.97)</f>
        <v>22.97</v>
      </c>
      <c r="F204" s="25">
        <f>IFERROR(__xludf.DUMMYFUNCTION("""COMPUTED_VALUE"""),22.27)</f>
        <v>22.27</v>
      </c>
      <c r="G204" s="25">
        <f>IFERROR(__xludf.DUMMYFUNCTION("""COMPUTED_VALUE"""),22.4)</f>
        <v>22.4</v>
      </c>
      <c r="H204" s="25">
        <f>IFERROR(__xludf.DUMMYFUNCTION("""COMPUTED_VALUE"""),7.7102415E7)</f>
        <v>77102415</v>
      </c>
      <c r="I204" s="31">
        <f t="shared" si="4"/>
        <v>21.03190476</v>
      </c>
    </row>
    <row r="205">
      <c r="C205" s="27">
        <f>IFERROR(__xludf.DUMMYFUNCTION("""COMPUTED_VALUE"""),45839.66666666667)</f>
        <v>45839.66667</v>
      </c>
      <c r="D205" s="25">
        <f>IFERROR(__xludf.DUMMYFUNCTION("""COMPUTED_VALUE"""),22.33)</f>
        <v>22.33</v>
      </c>
      <c r="E205" s="25">
        <f>IFERROR(__xludf.DUMMYFUNCTION("""COMPUTED_VALUE"""),23.16)</f>
        <v>23.16</v>
      </c>
      <c r="F205" s="25">
        <f>IFERROR(__xludf.DUMMYFUNCTION("""COMPUTED_VALUE"""),22.28)</f>
        <v>22.28</v>
      </c>
      <c r="G205" s="25">
        <f>IFERROR(__xludf.DUMMYFUNCTION("""COMPUTED_VALUE"""),22.85)</f>
        <v>22.85</v>
      </c>
      <c r="H205" s="25">
        <f>IFERROR(__xludf.DUMMYFUNCTION("""COMPUTED_VALUE"""),7.9094907E7)</f>
        <v>79094907</v>
      </c>
      <c r="I205" s="31">
        <f t="shared" si="4"/>
        <v>21.18904762</v>
      </c>
    </row>
    <row r="206">
      <c r="C206" s="27">
        <f>IFERROR(__xludf.DUMMYFUNCTION("""COMPUTED_VALUE"""),45840.66666666667)</f>
        <v>45840.66667</v>
      </c>
      <c r="D206" s="25">
        <f>IFERROR(__xludf.DUMMYFUNCTION("""COMPUTED_VALUE"""),22.53)</f>
        <v>22.53</v>
      </c>
      <c r="E206" s="25">
        <f>IFERROR(__xludf.DUMMYFUNCTION("""COMPUTED_VALUE"""),22.77)</f>
        <v>22.77</v>
      </c>
      <c r="F206" s="25">
        <f>IFERROR(__xludf.DUMMYFUNCTION("""COMPUTED_VALUE"""),21.52)</f>
        <v>21.52</v>
      </c>
      <c r="G206" s="25">
        <f>IFERROR(__xludf.DUMMYFUNCTION("""COMPUTED_VALUE"""),21.88)</f>
        <v>21.88</v>
      </c>
      <c r="H206" s="25">
        <f>IFERROR(__xludf.DUMMYFUNCTION("""COMPUTED_VALUE"""),1.38245252E8)</f>
        <v>138245252</v>
      </c>
      <c r="I206" s="31">
        <f t="shared" si="4"/>
        <v>21.29095238</v>
      </c>
    </row>
    <row r="207">
      <c r="C207" s="27">
        <f>IFERROR(__xludf.DUMMYFUNCTION("""COMPUTED_VALUE"""),45841.54513888889)</f>
        <v>45841.54514</v>
      </c>
      <c r="D207" s="25">
        <f>IFERROR(__xludf.DUMMYFUNCTION("""COMPUTED_VALUE"""),22.15)</f>
        <v>22.15</v>
      </c>
      <c r="E207" s="25">
        <f>IFERROR(__xludf.DUMMYFUNCTION("""COMPUTED_VALUE"""),22.63)</f>
        <v>22.63</v>
      </c>
      <c r="F207" s="25">
        <f>IFERROR(__xludf.DUMMYFUNCTION("""COMPUTED_VALUE"""),21.99)</f>
        <v>21.99</v>
      </c>
      <c r="G207" s="25">
        <f>IFERROR(__xludf.DUMMYFUNCTION("""COMPUTED_VALUE"""),22.49)</f>
        <v>22.49</v>
      </c>
      <c r="H207" s="25">
        <f>IFERROR(__xludf.DUMMYFUNCTION("""COMPUTED_VALUE"""),6.1175951E7)</f>
        <v>61175951</v>
      </c>
      <c r="I207" s="31">
        <f t="shared" si="4"/>
        <v>21.39571429</v>
      </c>
    </row>
    <row r="208">
      <c r="C208" s="27">
        <f>IFERROR(__xludf.DUMMYFUNCTION("""COMPUTED_VALUE"""),45845.66666666667)</f>
        <v>45845.66667</v>
      </c>
      <c r="D208" s="25">
        <f>IFERROR(__xludf.DUMMYFUNCTION("""COMPUTED_VALUE"""),22.21)</f>
        <v>22.21</v>
      </c>
      <c r="E208" s="25">
        <f>IFERROR(__xludf.DUMMYFUNCTION("""COMPUTED_VALUE"""),22.39)</f>
        <v>22.39</v>
      </c>
      <c r="F208" s="25">
        <f>IFERROR(__xludf.DUMMYFUNCTION("""COMPUTED_VALUE"""),21.86)</f>
        <v>21.86</v>
      </c>
      <c r="G208" s="25">
        <f>IFERROR(__xludf.DUMMYFUNCTION("""COMPUTED_VALUE"""),22.0)</f>
        <v>22</v>
      </c>
      <c r="H208" s="25">
        <f>IFERROR(__xludf.DUMMYFUNCTION("""COMPUTED_VALUE"""),8.0725235E7)</f>
        <v>80725235</v>
      </c>
      <c r="I208" s="31">
        <f t="shared" si="4"/>
        <v>21.47904762</v>
      </c>
    </row>
    <row r="209">
      <c r="C209" s="27">
        <f>IFERROR(__xludf.DUMMYFUNCTION("""COMPUTED_VALUE"""),45846.66666666667)</f>
        <v>45846.66667</v>
      </c>
      <c r="D209" s="25">
        <f>IFERROR(__xludf.DUMMYFUNCTION("""COMPUTED_VALUE"""),22.18)</f>
        <v>22.18</v>
      </c>
      <c r="E209" s="25">
        <f>IFERROR(__xludf.DUMMYFUNCTION("""COMPUTED_VALUE"""),23.79)</f>
        <v>23.79</v>
      </c>
      <c r="F209" s="25">
        <f>IFERROR(__xludf.DUMMYFUNCTION("""COMPUTED_VALUE"""),22.13)</f>
        <v>22.13</v>
      </c>
      <c r="G209" s="25">
        <f>IFERROR(__xludf.DUMMYFUNCTION("""COMPUTED_VALUE"""),23.59)</f>
        <v>23.59</v>
      </c>
      <c r="H209" s="25">
        <f>IFERROR(__xludf.DUMMYFUNCTION("""COMPUTED_VALUE"""),1.19545462E8)</f>
        <v>119545462</v>
      </c>
      <c r="I209" s="31">
        <f t="shared" si="4"/>
        <v>21.65047619</v>
      </c>
    </row>
    <row r="210">
      <c r="C210" s="27">
        <f>IFERROR(__xludf.DUMMYFUNCTION("""COMPUTED_VALUE"""),45847.66666666667)</f>
        <v>45847.66667</v>
      </c>
      <c r="D210" s="25">
        <f>IFERROR(__xludf.DUMMYFUNCTION("""COMPUTED_VALUE"""),23.29)</f>
        <v>23.29</v>
      </c>
      <c r="E210" s="25">
        <f>IFERROR(__xludf.DUMMYFUNCTION("""COMPUTED_VALUE"""),23.53)</f>
        <v>23.53</v>
      </c>
      <c r="F210" s="25">
        <f>IFERROR(__xludf.DUMMYFUNCTION("""COMPUTED_VALUE"""),23.13)</f>
        <v>23.13</v>
      </c>
      <c r="G210" s="25">
        <f>IFERROR(__xludf.DUMMYFUNCTION("""COMPUTED_VALUE"""),23.44)</f>
        <v>23.44</v>
      </c>
      <c r="H210" s="25">
        <f>IFERROR(__xludf.DUMMYFUNCTION("""COMPUTED_VALUE"""),7.0247739E7)</f>
        <v>70247739</v>
      </c>
      <c r="I210" s="31">
        <f t="shared" si="4"/>
        <v>21.81142857</v>
      </c>
    </row>
    <row r="211">
      <c r="C211" s="27">
        <f>IFERROR(__xludf.DUMMYFUNCTION("""COMPUTED_VALUE"""),45848.66666666667)</f>
        <v>45848.66667</v>
      </c>
      <c r="D211" s="25">
        <f>IFERROR(__xludf.DUMMYFUNCTION("""COMPUTED_VALUE"""),23.63)</f>
        <v>23.63</v>
      </c>
      <c r="E211" s="25">
        <f>IFERROR(__xludf.DUMMYFUNCTION("""COMPUTED_VALUE"""),24.04)</f>
        <v>24.04</v>
      </c>
      <c r="F211" s="25">
        <f>IFERROR(__xludf.DUMMYFUNCTION("""COMPUTED_VALUE"""),23.48)</f>
        <v>23.48</v>
      </c>
      <c r="G211" s="25">
        <f>IFERROR(__xludf.DUMMYFUNCTION("""COMPUTED_VALUE"""),23.82)</f>
        <v>23.82</v>
      </c>
      <c r="H211" s="25">
        <f>IFERROR(__xludf.DUMMYFUNCTION("""COMPUTED_VALUE"""),5.4599844E7)</f>
        <v>54599844</v>
      </c>
      <c r="I211" s="31">
        <f t="shared" si="4"/>
        <v>21.97047619</v>
      </c>
    </row>
    <row r="212">
      <c r="C212" s="27">
        <f>IFERROR(__xludf.DUMMYFUNCTION("""COMPUTED_VALUE"""),45849.66666666667)</f>
        <v>45849.66667</v>
      </c>
      <c r="D212" s="25">
        <f>IFERROR(__xludf.DUMMYFUNCTION("""COMPUTED_VALUE"""),23.56)</f>
        <v>23.56</v>
      </c>
      <c r="E212" s="25">
        <f>IFERROR(__xludf.DUMMYFUNCTION("""COMPUTED_VALUE"""),23.66)</f>
        <v>23.66</v>
      </c>
      <c r="F212" s="25">
        <f>IFERROR(__xludf.DUMMYFUNCTION("""COMPUTED_VALUE"""),23.16)</f>
        <v>23.16</v>
      </c>
      <c r="G212" s="25">
        <f>IFERROR(__xludf.DUMMYFUNCTION("""COMPUTED_VALUE"""),23.43)</f>
        <v>23.43</v>
      </c>
      <c r="H212" s="25">
        <f>IFERROR(__xludf.DUMMYFUNCTION("""COMPUTED_VALUE"""),4.9367905E7)</f>
        <v>49367905</v>
      </c>
      <c r="I212" s="31">
        <f t="shared" si="4"/>
        <v>22.0347619</v>
      </c>
    </row>
    <row r="213">
      <c r="C213" s="27">
        <f>IFERROR(__xludf.DUMMYFUNCTION("""COMPUTED_VALUE"""),45852.66666666667)</f>
        <v>45852.66667</v>
      </c>
      <c r="D213" s="25">
        <f>IFERROR(__xludf.DUMMYFUNCTION("""COMPUTED_VALUE"""),23.24)</f>
        <v>23.24</v>
      </c>
      <c r="E213" s="25">
        <f>IFERROR(__xludf.DUMMYFUNCTION("""COMPUTED_VALUE"""),23.4)</f>
        <v>23.4</v>
      </c>
      <c r="F213" s="25">
        <f>IFERROR(__xludf.DUMMYFUNCTION("""COMPUTED_VALUE"""),22.88)</f>
        <v>22.88</v>
      </c>
      <c r="G213" s="25">
        <f>IFERROR(__xludf.DUMMYFUNCTION("""COMPUTED_VALUE"""),23.3)</f>
        <v>23.3</v>
      </c>
      <c r="H213" s="25">
        <f>IFERROR(__xludf.DUMMYFUNCTION("""COMPUTED_VALUE"""),4.8420516E7)</f>
        <v>48420516</v>
      </c>
      <c r="I213" s="31">
        <f t="shared" si="4"/>
        <v>22.15952381</v>
      </c>
    </row>
    <row r="214">
      <c r="C214" s="27">
        <f>IFERROR(__xludf.DUMMYFUNCTION("""COMPUTED_VALUE"""),45853.66666666667)</f>
        <v>45853.66667</v>
      </c>
      <c r="D214" s="25">
        <f>IFERROR(__xludf.DUMMYFUNCTION("""COMPUTED_VALUE"""),23.57)</f>
        <v>23.57</v>
      </c>
      <c r="E214" s="25">
        <f>IFERROR(__xludf.DUMMYFUNCTION("""COMPUTED_VALUE"""),23.78)</f>
        <v>23.78</v>
      </c>
      <c r="F214" s="25">
        <f>IFERROR(__xludf.DUMMYFUNCTION("""COMPUTED_VALUE"""),22.9)</f>
        <v>22.9</v>
      </c>
      <c r="G214" s="25">
        <f>IFERROR(__xludf.DUMMYFUNCTION("""COMPUTED_VALUE"""),22.92)</f>
        <v>22.92</v>
      </c>
      <c r="H214" s="25">
        <f>IFERROR(__xludf.DUMMYFUNCTION("""COMPUTED_VALUE"""),6.6099351E7)</f>
        <v>66099351</v>
      </c>
      <c r="I214" s="31">
        <f t="shared" si="4"/>
        <v>22.26190476</v>
      </c>
    </row>
    <row r="215">
      <c r="C215" s="27">
        <f>IFERROR(__xludf.DUMMYFUNCTION("""COMPUTED_VALUE"""),45854.66666666667)</f>
        <v>45854.66667</v>
      </c>
      <c r="D215" s="25">
        <f>IFERROR(__xludf.DUMMYFUNCTION("""COMPUTED_VALUE"""),22.99)</f>
        <v>22.99</v>
      </c>
      <c r="E215" s="25">
        <f>IFERROR(__xludf.DUMMYFUNCTION("""COMPUTED_VALUE"""),23.13)</f>
        <v>23.13</v>
      </c>
      <c r="F215" s="25">
        <f>IFERROR(__xludf.DUMMYFUNCTION("""COMPUTED_VALUE"""),22.25)</f>
        <v>22.25</v>
      </c>
      <c r="G215" s="25">
        <f>IFERROR(__xludf.DUMMYFUNCTION("""COMPUTED_VALUE"""),22.69)</f>
        <v>22.69</v>
      </c>
      <c r="H215" s="25">
        <f>IFERROR(__xludf.DUMMYFUNCTION("""COMPUTED_VALUE"""),5.8865893E7)</f>
        <v>58865893</v>
      </c>
      <c r="I215" s="31">
        <f t="shared" si="4"/>
        <v>22.38333333</v>
      </c>
    </row>
    <row r="216">
      <c r="C216" s="27">
        <f>IFERROR(__xludf.DUMMYFUNCTION("""COMPUTED_VALUE"""),45855.66666666667)</f>
        <v>45855.66667</v>
      </c>
      <c r="D216" s="25">
        <f>IFERROR(__xludf.DUMMYFUNCTION("""COMPUTED_VALUE"""),22.66)</f>
        <v>22.66</v>
      </c>
      <c r="E216" s="25">
        <f>IFERROR(__xludf.DUMMYFUNCTION("""COMPUTED_VALUE"""),23.05)</f>
        <v>23.05</v>
      </c>
      <c r="F216" s="25">
        <f>IFERROR(__xludf.DUMMYFUNCTION("""COMPUTED_VALUE"""),22.59)</f>
        <v>22.59</v>
      </c>
      <c r="G216" s="25">
        <f>IFERROR(__xludf.DUMMYFUNCTION("""COMPUTED_VALUE"""),22.8)</f>
        <v>22.8</v>
      </c>
      <c r="H216" s="25">
        <f>IFERROR(__xludf.DUMMYFUNCTION("""COMPUTED_VALUE"""),4.9384037E7)</f>
        <v>49384037</v>
      </c>
      <c r="I216" s="31">
        <f t="shared" si="4"/>
        <v>22.48142857</v>
      </c>
    </row>
    <row r="217">
      <c r="C217" s="27">
        <f>IFERROR(__xludf.DUMMYFUNCTION("""COMPUTED_VALUE"""),45856.66666666667)</f>
        <v>45856.66667</v>
      </c>
      <c r="D217" s="25">
        <f>IFERROR(__xludf.DUMMYFUNCTION("""COMPUTED_VALUE"""),23.22)</f>
        <v>23.22</v>
      </c>
      <c r="E217" s="25">
        <f>IFERROR(__xludf.DUMMYFUNCTION("""COMPUTED_VALUE"""),23.59)</f>
        <v>23.59</v>
      </c>
      <c r="F217" s="25">
        <f>IFERROR(__xludf.DUMMYFUNCTION("""COMPUTED_VALUE"""),22.9)</f>
        <v>22.9</v>
      </c>
      <c r="G217" s="25">
        <f>IFERROR(__xludf.DUMMYFUNCTION("""COMPUTED_VALUE"""),23.1)</f>
        <v>23.1</v>
      </c>
      <c r="H217" s="25">
        <f>IFERROR(__xludf.DUMMYFUNCTION("""COMPUTED_VALUE"""),6.0195598E7)</f>
        <v>60195598</v>
      </c>
      <c r="I217" s="31">
        <f t="shared" si="4"/>
        <v>22.59095238</v>
      </c>
    </row>
    <row r="218">
      <c r="C218" s="27">
        <f>IFERROR(__xludf.DUMMYFUNCTION("""COMPUTED_VALUE"""),45859.66666666667)</f>
        <v>45859.66667</v>
      </c>
      <c r="D218" s="25">
        <f>IFERROR(__xludf.DUMMYFUNCTION("""COMPUTED_VALUE"""),23.4)</f>
        <v>23.4</v>
      </c>
      <c r="E218" s="25">
        <f>IFERROR(__xludf.DUMMYFUNCTION("""COMPUTED_VALUE"""),23.83)</f>
        <v>23.83</v>
      </c>
      <c r="F218" s="25">
        <f>IFERROR(__xludf.DUMMYFUNCTION("""COMPUTED_VALUE"""),23.16)</f>
        <v>23.16</v>
      </c>
      <c r="G218" s="25">
        <f>IFERROR(__xludf.DUMMYFUNCTION("""COMPUTED_VALUE"""),23.26)</f>
        <v>23.26</v>
      </c>
      <c r="H218" s="25">
        <f>IFERROR(__xludf.DUMMYFUNCTION("""COMPUTED_VALUE"""),6.1657989E7)</f>
        <v>61657989</v>
      </c>
      <c r="I218" s="31">
        <f t="shared" si="4"/>
        <v>22.6752381</v>
      </c>
    </row>
    <row r="219">
      <c r="C219" s="27">
        <f>IFERROR(__xludf.DUMMYFUNCTION("""COMPUTED_VALUE"""),45860.66666666667)</f>
        <v>45860.66667</v>
      </c>
      <c r="D219" s="25">
        <f>IFERROR(__xludf.DUMMYFUNCTION("""COMPUTED_VALUE"""),23.34)</f>
        <v>23.34</v>
      </c>
      <c r="E219" s="25">
        <f>IFERROR(__xludf.DUMMYFUNCTION("""COMPUTED_VALUE"""),23.54)</f>
        <v>23.54</v>
      </c>
      <c r="F219" s="25">
        <f>IFERROR(__xludf.DUMMYFUNCTION("""COMPUTED_VALUE"""),23.08)</f>
        <v>23.08</v>
      </c>
      <c r="G219" s="25">
        <f>IFERROR(__xludf.DUMMYFUNCTION("""COMPUTED_VALUE"""),23.24)</f>
        <v>23.24</v>
      </c>
      <c r="H219" s="25">
        <f>IFERROR(__xludf.DUMMYFUNCTION("""COMPUTED_VALUE"""),5.3969845E7)</f>
        <v>53969845</v>
      </c>
      <c r="I219" s="31">
        <f t="shared" si="4"/>
        <v>22.77809524</v>
      </c>
    </row>
    <row r="220">
      <c r="C220" s="27">
        <f>IFERROR(__xludf.DUMMYFUNCTION("""COMPUTED_VALUE"""),45861.66666666667)</f>
        <v>45861.66667</v>
      </c>
      <c r="D220" s="25">
        <f>IFERROR(__xludf.DUMMYFUNCTION("""COMPUTED_VALUE"""),23.26)</f>
        <v>23.26</v>
      </c>
      <c r="E220" s="25">
        <f>IFERROR(__xludf.DUMMYFUNCTION("""COMPUTED_VALUE"""),23.62)</f>
        <v>23.62</v>
      </c>
      <c r="F220" s="25">
        <f>IFERROR(__xludf.DUMMYFUNCTION("""COMPUTED_VALUE"""),22.92)</f>
        <v>22.92</v>
      </c>
      <c r="G220" s="25">
        <f>IFERROR(__xludf.DUMMYFUNCTION("""COMPUTED_VALUE"""),23.49)</f>
        <v>23.49</v>
      </c>
      <c r="H220" s="25">
        <f>IFERROR(__xludf.DUMMYFUNCTION("""COMPUTED_VALUE"""),6.8711715E7)</f>
        <v>68711715</v>
      </c>
      <c r="I220" s="31">
        <f t="shared" si="4"/>
        <v>22.88761905</v>
      </c>
    </row>
    <row r="221">
      <c r="C221" s="27">
        <f>IFERROR(__xludf.DUMMYFUNCTION("""COMPUTED_VALUE"""),45862.66666666667)</f>
        <v>45862.66667</v>
      </c>
      <c r="D221" s="25">
        <f>IFERROR(__xludf.DUMMYFUNCTION("""COMPUTED_VALUE"""),23.49)</f>
        <v>23.49</v>
      </c>
      <c r="E221" s="25">
        <f>IFERROR(__xludf.DUMMYFUNCTION("""COMPUTED_VALUE"""),23.58)</f>
        <v>23.58</v>
      </c>
      <c r="F221" s="25">
        <f>IFERROR(__xludf.DUMMYFUNCTION("""COMPUTED_VALUE"""),22.6)</f>
        <v>22.6</v>
      </c>
      <c r="G221" s="25">
        <f>IFERROR(__xludf.DUMMYFUNCTION("""COMPUTED_VALUE"""),22.63)</f>
        <v>22.63</v>
      </c>
      <c r="H221" s="25">
        <f>IFERROR(__xludf.DUMMYFUNCTION("""COMPUTED_VALUE"""),1.31963323E8)</f>
        <v>131963323</v>
      </c>
      <c r="I221" s="31">
        <f t="shared" si="4"/>
        <v>22.89142857</v>
      </c>
    </row>
    <row r="222">
      <c r="C222" s="27">
        <f>IFERROR(__xludf.DUMMYFUNCTION("""COMPUTED_VALUE"""),45863.66666666667)</f>
        <v>45863.66667</v>
      </c>
      <c r="D222" s="25">
        <f>IFERROR(__xludf.DUMMYFUNCTION("""COMPUTED_VALUE"""),20.68)</f>
        <v>20.68</v>
      </c>
      <c r="E222" s="25">
        <f>IFERROR(__xludf.DUMMYFUNCTION("""COMPUTED_VALUE"""),21.05)</f>
        <v>21.05</v>
      </c>
      <c r="F222" s="25">
        <f>IFERROR(__xludf.DUMMYFUNCTION("""COMPUTED_VALUE"""),20.36)</f>
        <v>20.36</v>
      </c>
      <c r="G222" s="25">
        <f>IFERROR(__xludf.DUMMYFUNCTION("""COMPUTED_VALUE"""),20.7)</f>
        <v>20.7</v>
      </c>
      <c r="H222" s="25">
        <f>IFERROR(__xludf.DUMMYFUNCTION("""COMPUTED_VALUE"""),2.45077682E8)</f>
        <v>245077682</v>
      </c>
      <c r="I222" s="31">
        <f t="shared" si="4"/>
        <v>22.82</v>
      </c>
    </row>
    <row r="223">
      <c r="C223" s="27">
        <f>IFERROR(__xludf.DUMMYFUNCTION("""COMPUTED_VALUE"""),45866.66666666667)</f>
        <v>45866.66667</v>
      </c>
      <c r="D223" s="25">
        <f>IFERROR(__xludf.DUMMYFUNCTION("""COMPUTED_VALUE"""),20.82)</f>
        <v>20.82</v>
      </c>
      <c r="E223" s="25">
        <f>IFERROR(__xludf.DUMMYFUNCTION("""COMPUTED_VALUE"""),21.29)</f>
        <v>21.29</v>
      </c>
      <c r="F223" s="25">
        <f>IFERROR(__xludf.DUMMYFUNCTION("""COMPUTED_VALUE"""),20.65)</f>
        <v>20.65</v>
      </c>
      <c r="G223" s="25">
        <f>IFERROR(__xludf.DUMMYFUNCTION("""COMPUTED_VALUE"""),20.68)</f>
        <v>20.68</v>
      </c>
      <c r="H223" s="25">
        <f>IFERROR(__xludf.DUMMYFUNCTION("""COMPUTED_VALUE"""),8.6105582E7)</f>
        <v>86105582</v>
      </c>
      <c r="I223" s="31">
        <f t="shared" si="4"/>
        <v>22.73333333</v>
      </c>
    </row>
    <row r="224">
      <c r="C224" s="27">
        <f>IFERROR(__xludf.DUMMYFUNCTION("""COMPUTED_VALUE"""),45867.66666666667)</f>
        <v>45867.66667</v>
      </c>
      <c r="D224" s="25">
        <f>IFERROR(__xludf.DUMMYFUNCTION("""COMPUTED_VALUE"""),20.69)</f>
        <v>20.69</v>
      </c>
      <c r="E224" s="25">
        <f>IFERROR(__xludf.DUMMYFUNCTION("""COMPUTED_VALUE"""),20.85)</f>
        <v>20.85</v>
      </c>
      <c r="F224" s="25">
        <f>IFERROR(__xludf.DUMMYFUNCTION("""COMPUTED_VALUE"""),20.34)</f>
        <v>20.34</v>
      </c>
      <c r="G224" s="25">
        <f>IFERROR(__xludf.DUMMYFUNCTION("""COMPUTED_VALUE"""),20.41)</f>
        <v>20.41</v>
      </c>
      <c r="H224" s="25">
        <f>IFERROR(__xludf.DUMMYFUNCTION("""COMPUTED_VALUE"""),1.00831524E8)</f>
        <v>100831524</v>
      </c>
      <c r="I224" s="31">
        <f t="shared" si="4"/>
        <v>22.6247619</v>
      </c>
    </row>
    <row r="225">
      <c r="C225" s="27">
        <f>IFERROR(__xludf.DUMMYFUNCTION("""COMPUTED_VALUE"""),45868.66666666667)</f>
        <v>45868.66667</v>
      </c>
      <c r="D225" s="25">
        <f>IFERROR(__xludf.DUMMYFUNCTION("""COMPUTED_VALUE"""),20.43)</f>
        <v>20.43</v>
      </c>
      <c r="E225" s="25">
        <f>IFERROR(__xludf.DUMMYFUNCTION("""COMPUTED_VALUE"""),20.62)</f>
        <v>20.62</v>
      </c>
      <c r="F225" s="25">
        <f>IFERROR(__xludf.DUMMYFUNCTION("""COMPUTED_VALUE"""),20.08)</f>
        <v>20.08</v>
      </c>
      <c r="G225" s="25">
        <f>IFERROR(__xludf.DUMMYFUNCTION("""COMPUTED_VALUE"""),20.34)</f>
        <v>20.34</v>
      </c>
      <c r="H225" s="25">
        <f>IFERROR(__xludf.DUMMYFUNCTION("""COMPUTED_VALUE"""),6.742033E7)</f>
        <v>67420330</v>
      </c>
      <c r="I225" s="31">
        <f t="shared" si="4"/>
        <v>22.52666667</v>
      </c>
    </row>
    <row r="226">
      <c r="C226" s="27">
        <f>IFERROR(__xludf.DUMMYFUNCTION("""COMPUTED_VALUE"""),45869.66666666667)</f>
        <v>45869.66667</v>
      </c>
      <c r="D226" s="25">
        <f>IFERROR(__xludf.DUMMYFUNCTION("""COMPUTED_VALUE"""),20.17)</f>
        <v>20.17</v>
      </c>
      <c r="E226" s="25">
        <f>IFERROR(__xludf.DUMMYFUNCTION("""COMPUTED_VALUE"""),20.23)</f>
        <v>20.23</v>
      </c>
      <c r="F226" s="25">
        <f>IFERROR(__xludf.DUMMYFUNCTION("""COMPUTED_VALUE"""),19.66)</f>
        <v>19.66</v>
      </c>
      <c r="G226" s="25">
        <f>IFERROR(__xludf.DUMMYFUNCTION("""COMPUTED_VALUE"""),19.8)</f>
        <v>19.8</v>
      </c>
      <c r="H226" s="25">
        <f>IFERROR(__xludf.DUMMYFUNCTION("""COMPUTED_VALUE"""),9.0665198E7)</f>
        <v>90665198</v>
      </c>
      <c r="I226" s="31">
        <f t="shared" si="4"/>
        <v>22.38142857</v>
      </c>
    </row>
    <row r="227">
      <c r="C227" s="27">
        <f>IFERROR(__xludf.DUMMYFUNCTION("""COMPUTED_VALUE"""),45870.66666666667)</f>
        <v>45870.66667</v>
      </c>
      <c r="D227" s="25">
        <f>IFERROR(__xludf.DUMMYFUNCTION("""COMPUTED_VALUE"""),19.5)</f>
        <v>19.5</v>
      </c>
      <c r="E227" s="25">
        <f>IFERROR(__xludf.DUMMYFUNCTION("""COMPUTED_VALUE"""),19.55)</f>
        <v>19.55</v>
      </c>
      <c r="F227" s="25">
        <f>IFERROR(__xludf.DUMMYFUNCTION("""COMPUTED_VALUE"""),18.97)</f>
        <v>18.97</v>
      </c>
      <c r="G227" s="25">
        <f>IFERROR(__xludf.DUMMYFUNCTION("""COMPUTED_VALUE"""),19.31)</f>
        <v>19.31</v>
      </c>
      <c r="H227" s="25">
        <f>IFERROR(__xludf.DUMMYFUNCTION("""COMPUTED_VALUE"""),8.6496139E7)</f>
        <v>86496139</v>
      </c>
      <c r="I227" s="31">
        <f t="shared" si="4"/>
        <v>22.25904762</v>
      </c>
    </row>
    <row r="228">
      <c r="C228" s="27">
        <f>IFERROR(__xludf.DUMMYFUNCTION("""COMPUTED_VALUE"""),45873.66666666667)</f>
        <v>45873.66667</v>
      </c>
      <c r="D228" s="25">
        <f>IFERROR(__xludf.DUMMYFUNCTION("""COMPUTED_VALUE"""),19.52)</f>
        <v>19.52</v>
      </c>
      <c r="E228" s="25">
        <f>IFERROR(__xludf.DUMMYFUNCTION("""COMPUTED_VALUE"""),19.59)</f>
        <v>19.59</v>
      </c>
      <c r="F228" s="25">
        <f>IFERROR(__xludf.DUMMYFUNCTION("""COMPUTED_VALUE"""),19.35)</f>
        <v>19.35</v>
      </c>
      <c r="G228" s="25">
        <f>IFERROR(__xludf.DUMMYFUNCTION("""COMPUTED_VALUE"""),19.5)</f>
        <v>19.5</v>
      </c>
      <c r="H228" s="25">
        <f>IFERROR(__xludf.DUMMYFUNCTION("""COMPUTED_VALUE"""),6.9249371E7)</f>
        <v>69249371</v>
      </c>
      <c r="I228" s="31">
        <f t="shared" si="4"/>
        <v>22.11666667</v>
      </c>
    </row>
    <row r="229">
      <c r="C229" s="27">
        <f>IFERROR(__xludf.DUMMYFUNCTION("""COMPUTED_VALUE"""),45874.66666666667)</f>
        <v>45874.66667</v>
      </c>
      <c r="D229" s="25">
        <f>IFERROR(__xludf.DUMMYFUNCTION("""COMPUTED_VALUE"""),19.7)</f>
        <v>19.7</v>
      </c>
      <c r="E229" s="25">
        <f>IFERROR(__xludf.DUMMYFUNCTION("""COMPUTED_VALUE"""),20.54)</f>
        <v>20.54</v>
      </c>
      <c r="F229" s="25">
        <f>IFERROR(__xludf.DUMMYFUNCTION("""COMPUTED_VALUE"""),19.68)</f>
        <v>19.68</v>
      </c>
      <c r="G229" s="25">
        <f>IFERROR(__xludf.DUMMYFUNCTION("""COMPUTED_VALUE"""),20.19)</f>
        <v>20.19</v>
      </c>
      <c r="H229" s="25">
        <f>IFERROR(__xludf.DUMMYFUNCTION("""COMPUTED_VALUE"""),9.7338249E7)</f>
        <v>97338249</v>
      </c>
      <c r="I229" s="31">
        <f t="shared" si="4"/>
        <v>22.03047619</v>
      </c>
    </row>
    <row r="230">
      <c r="C230" s="27">
        <f>IFERROR(__xludf.DUMMYFUNCTION("""COMPUTED_VALUE"""),45875.66666666667)</f>
        <v>45875.66667</v>
      </c>
      <c r="D230" s="25">
        <f>IFERROR(__xludf.DUMMYFUNCTION("""COMPUTED_VALUE"""),20.12)</f>
        <v>20.12</v>
      </c>
      <c r="E230" s="25">
        <f>IFERROR(__xludf.DUMMYFUNCTION("""COMPUTED_VALUE"""),20.48)</f>
        <v>20.48</v>
      </c>
      <c r="F230" s="25">
        <f>IFERROR(__xludf.DUMMYFUNCTION("""COMPUTED_VALUE"""),19.87)</f>
        <v>19.87</v>
      </c>
      <c r="G230" s="25">
        <f>IFERROR(__xludf.DUMMYFUNCTION("""COMPUTED_VALUE"""),20.41)</f>
        <v>20.41</v>
      </c>
      <c r="H230" s="25">
        <f>IFERROR(__xludf.DUMMYFUNCTION("""COMPUTED_VALUE"""),6.7074217E7)</f>
        <v>67074217</v>
      </c>
      <c r="I230" s="31">
        <f t="shared" si="4"/>
        <v>21.87904762</v>
      </c>
    </row>
    <row r="231">
      <c r="C231" s="27">
        <f>IFERROR(__xludf.DUMMYFUNCTION("""COMPUTED_VALUE"""),45876.66666666667)</f>
        <v>45876.66667</v>
      </c>
      <c r="D231" s="25">
        <f>IFERROR(__xludf.DUMMYFUNCTION("""COMPUTED_VALUE"""),20.0)</f>
        <v>20</v>
      </c>
      <c r="E231" s="25">
        <f>IFERROR(__xludf.DUMMYFUNCTION("""COMPUTED_VALUE"""),20.44)</f>
        <v>20.44</v>
      </c>
      <c r="F231" s="25">
        <f>IFERROR(__xludf.DUMMYFUNCTION("""COMPUTED_VALUE"""),19.6)</f>
        <v>19.6</v>
      </c>
      <c r="G231" s="25">
        <f>IFERROR(__xludf.DUMMYFUNCTION("""COMPUTED_VALUE"""),19.77)</f>
        <v>19.77</v>
      </c>
      <c r="H231" s="25">
        <f>IFERROR(__xludf.DUMMYFUNCTION("""COMPUTED_VALUE"""),1.31382767E8)</f>
        <v>131382767</v>
      </c>
      <c r="I231" s="31">
        <f t="shared" si="4"/>
        <v>21.70428571</v>
      </c>
    </row>
    <row r="232">
      <c r="C232" s="27">
        <f>IFERROR(__xludf.DUMMYFUNCTION("""COMPUTED_VALUE"""),45877.66666666667)</f>
        <v>45877.66667</v>
      </c>
      <c r="D232" s="25">
        <f>IFERROR(__xludf.DUMMYFUNCTION("""COMPUTED_VALUE"""),20.0)</f>
        <v>20</v>
      </c>
      <c r="E232" s="25">
        <f>IFERROR(__xludf.DUMMYFUNCTION("""COMPUTED_VALUE"""),20.02)</f>
        <v>20.02</v>
      </c>
      <c r="F232" s="25">
        <f>IFERROR(__xludf.DUMMYFUNCTION("""COMPUTED_VALUE"""),19.61)</f>
        <v>19.61</v>
      </c>
      <c r="G232" s="25">
        <f>IFERROR(__xludf.DUMMYFUNCTION("""COMPUTED_VALUE"""),19.95)</f>
        <v>19.95</v>
      </c>
      <c r="H232" s="25">
        <f>IFERROR(__xludf.DUMMYFUNCTION("""COMPUTED_VALUE"""),7.5415017E7)</f>
        <v>75415017</v>
      </c>
      <c r="I232" s="31">
        <f t="shared" si="4"/>
        <v>21.52</v>
      </c>
    </row>
    <row r="233">
      <c r="C233" s="27">
        <f>IFERROR(__xludf.DUMMYFUNCTION("""COMPUTED_VALUE"""),45880.66666666667)</f>
        <v>45880.66667</v>
      </c>
      <c r="D233" s="25">
        <f>IFERROR(__xludf.DUMMYFUNCTION("""COMPUTED_VALUE"""),20.45)</f>
        <v>20.45</v>
      </c>
      <c r="E233" s="25">
        <f>IFERROR(__xludf.DUMMYFUNCTION("""COMPUTED_VALUE"""),21.6)</f>
        <v>21.6</v>
      </c>
      <c r="F233" s="25">
        <f>IFERROR(__xludf.DUMMYFUNCTION("""COMPUTED_VALUE"""),20.44)</f>
        <v>20.44</v>
      </c>
      <c r="G233" s="25">
        <f>IFERROR(__xludf.DUMMYFUNCTION("""COMPUTED_VALUE"""),20.65)</f>
        <v>20.65</v>
      </c>
      <c r="H233" s="25">
        <f>IFERROR(__xludf.DUMMYFUNCTION("""COMPUTED_VALUE"""),1.75545596E8)</f>
        <v>175545596</v>
      </c>
      <c r="I233" s="31">
        <f t="shared" si="4"/>
        <v>21.38761905</v>
      </c>
    </row>
    <row r="234">
      <c r="C234" s="27">
        <f>IFERROR(__xludf.DUMMYFUNCTION("""COMPUTED_VALUE"""),45881.66666666667)</f>
        <v>45881.66667</v>
      </c>
      <c r="D234" s="25">
        <f>IFERROR(__xludf.DUMMYFUNCTION("""COMPUTED_VALUE"""),21.2)</f>
        <v>21.2</v>
      </c>
      <c r="E234" s="25">
        <f>IFERROR(__xludf.DUMMYFUNCTION("""COMPUTED_VALUE"""),21.86)</f>
        <v>21.86</v>
      </c>
      <c r="F234" s="25">
        <f>IFERROR(__xludf.DUMMYFUNCTION("""COMPUTED_VALUE"""),20.76)</f>
        <v>20.76</v>
      </c>
      <c r="G234" s="25">
        <f>IFERROR(__xludf.DUMMYFUNCTION("""COMPUTED_VALUE"""),21.81)</f>
        <v>21.81</v>
      </c>
      <c r="H234" s="25">
        <f>IFERROR(__xludf.DUMMYFUNCTION("""COMPUTED_VALUE"""),1.34488173E8)</f>
        <v>134488173</v>
      </c>
      <c r="I234" s="31">
        <f t="shared" si="4"/>
        <v>21.31666667</v>
      </c>
    </row>
    <row r="235">
      <c r="C235" s="27">
        <f>IFERROR(__xludf.DUMMYFUNCTION("""COMPUTED_VALUE"""),45882.66666666667)</f>
        <v>45882.66667</v>
      </c>
      <c r="D235" s="25">
        <f>IFERROR(__xludf.DUMMYFUNCTION("""COMPUTED_VALUE"""),21.62)</f>
        <v>21.62</v>
      </c>
      <c r="E235" s="25">
        <f>IFERROR(__xludf.DUMMYFUNCTION("""COMPUTED_VALUE"""),22.3)</f>
        <v>22.3</v>
      </c>
      <c r="F235" s="25">
        <f>IFERROR(__xludf.DUMMYFUNCTION("""COMPUTED_VALUE"""),21.36)</f>
        <v>21.36</v>
      </c>
      <c r="G235" s="25">
        <f>IFERROR(__xludf.DUMMYFUNCTION("""COMPUTED_VALUE"""),22.22)</f>
        <v>22.22</v>
      </c>
      <c r="H235" s="25">
        <f>IFERROR(__xludf.DUMMYFUNCTION("""COMPUTED_VALUE"""),8.6024355E7)</f>
        <v>86024355</v>
      </c>
      <c r="I235" s="31">
        <f t="shared" si="4"/>
        <v>21.28333333</v>
      </c>
    </row>
    <row r="236">
      <c r="C236" s="27">
        <f>IFERROR(__xludf.DUMMYFUNCTION("""COMPUTED_VALUE"""),45883.66666666667)</f>
        <v>45883.66667</v>
      </c>
      <c r="D236" s="25">
        <f>IFERROR(__xludf.DUMMYFUNCTION("""COMPUTED_VALUE"""),21.99)</f>
        <v>21.99</v>
      </c>
      <c r="E236" s="25">
        <f>IFERROR(__xludf.DUMMYFUNCTION("""COMPUTED_VALUE"""),24.2)</f>
        <v>24.2</v>
      </c>
      <c r="F236" s="25">
        <f>IFERROR(__xludf.DUMMYFUNCTION("""COMPUTED_VALUE"""),21.9)</f>
        <v>21.9</v>
      </c>
      <c r="G236" s="25">
        <f>IFERROR(__xludf.DUMMYFUNCTION("""COMPUTED_VALUE"""),23.86)</f>
        <v>23.86</v>
      </c>
      <c r="H236" s="25">
        <f>IFERROR(__xludf.DUMMYFUNCTION("""COMPUTED_VALUE"""),1.8805246E8)</f>
        <v>188052460</v>
      </c>
      <c r="I236" s="31">
        <f t="shared" si="4"/>
        <v>21.33904762</v>
      </c>
    </row>
    <row r="237">
      <c r="C237" s="27">
        <f>IFERROR(__xludf.DUMMYFUNCTION("""COMPUTED_VALUE"""),45884.66666666667)</f>
        <v>45884.66667</v>
      </c>
      <c r="D237" s="25">
        <f>IFERROR(__xludf.DUMMYFUNCTION("""COMPUTED_VALUE"""),25.01)</f>
        <v>25.01</v>
      </c>
      <c r="E237" s="25">
        <f>IFERROR(__xludf.DUMMYFUNCTION("""COMPUTED_VALUE"""),25.65)</f>
        <v>25.65</v>
      </c>
      <c r="F237" s="25">
        <f>IFERROR(__xludf.DUMMYFUNCTION("""COMPUTED_VALUE"""),24.11)</f>
        <v>24.11</v>
      </c>
      <c r="G237" s="25">
        <f>IFERROR(__xludf.DUMMYFUNCTION("""COMPUTED_VALUE"""),24.56)</f>
        <v>24.56</v>
      </c>
      <c r="H237" s="25">
        <f>IFERROR(__xludf.DUMMYFUNCTION("""COMPUTED_VALUE"""),3.10161102E8)</f>
        <v>310161102</v>
      </c>
      <c r="I237" s="31">
        <f t="shared" si="4"/>
        <v>21.42285714</v>
      </c>
    </row>
    <row r="238">
      <c r="C238" s="27">
        <f>IFERROR(__xludf.DUMMYFUNCTION("""COMPUTED_VALUE"""),45887.66666666667)</f>
        <v>45887.66667</v>
      </c>
      <c r="D238" s="25">
        <f>IFERROR(__xludf.DUMMYFUNCTION("""COMPUTED_VALUE"""),24.0)</f>
        <v>24</v>
      </c>
      <c r="E238" s="25">
        <f>IFERROR(__xludf.DUMMYFUNCTION("""COMPUTED_VALUE"""),24.9)</f>
        <v>24.9</v>
      </c>
      <c r="F238" s="25">
        <f>IFERROR(__xludf.DUMMYFUNCTION("""COMPUTED_VALUE"""),23.21)</f>
        <v>23.21</v>
      </c>
      <c r="G238" s="25">
        <f>IFERROR(__xludf.DUMMYFUNCTION("""COMPUTED_VALUE"""),23.66)</f>
        <v>23.66</v>
      </c>
      <c r="H238" s="25">
        <f>IFERROR(__xludf.DUMMYFUNCTION("""COMPUTED_VALUE"""),2.12515617E8)</f>
        <v>212515617</v>
      </c>
      <c r="I238" s="31">
        <f t="shared" si="4"/>
        <v>21.44952381</v>
      </c>
    </row>
    <row r="239">
      <c r="C239" s="27">
        <f>IFERROR(__xludf.DUMMYFUNCTION("""COMPUTED_VALUE"""),45888.66666666667)</f>
        <v>45888.66667</v>
      </c>
      <c r="D239" s="25">
        <f>IFERROR(__xludf.DUMMYFUNCTION("""COMPUTED_VALUE"""),24.94)</f>
        <v>24.94</v>
      </c>
      <c r="E239" s="25">
        <f>IFERROR(__xludf.DUMMYFUNCTION("""COMPUTED_VALUE"""),26.53)</f>
        <v>26.53</v>
      </c>
      <c r="F239" s="25">
        <f>IFERROR(__xludf.DUMMYFUNCTION("""COMPUTED_VALUE"""),24.94)</f>
        <v>24.94</v>
      </c>
      <c r="G239" s="25">
        <f>IFERROR(__xludf.DUMMYFUNCTION("""COMPUTED_VALUE"""),25.31)</f>
        <v>25.31</v>
      </c>
      <c r="H239" s="25">
        <f>IFERROR(__xludf.DUMMYFUNCTION("""COMPUTED_VALUE"""),2.97659156E8)</f>
        <v>297659156</v>
      </c>
      <c r="I239" s="31">
        <f t="shared" si="4"/>
        <v>21.54714286</v>
      </c>
    </row>
    <row r="240">
      <c r="C240" s="27">
        <f>IFERROR(__xludf.DUMMYFUNCTION("""COMPUTED_VALUE"""),45889.66666666667)</f>
        <v>45889.66667</v>
      </c>
      <c r="D240" s="25">
        <f>IFERROR(__xludf.DUMMYFUNCTION("""COMPUTED_VALUE"""),24.9)</f>
        <v>24.9</v>
      </c>
      <c r="E240" s="25">
        <f>IFERROR(__xludf.DUMMYFUNCTION("""COMPUTED_VALUE"""),24.93)</f>
        <v>24.93</v>
      </c>
      <c r="F240" s="25">
        <f>IFERROR(__xludf.DUMMYFUNCTION("""COMPUTED_VALUE"""),23.33)</f>
        <v>23.33</v>
      </c>
      <c r="G240" s="25">
        <f>IFERROR(__xludf.DUMMYFUNCTION("""COMPUTED_VALUE"""),23.54)</f>
        <v>23.54</v>
      </c>
      <c r="H240" s="25">
        <f>IFERROR(__xludf.DUMMYFUNCTION("""COMPUTED_VALUE"""),1.61149398E8)</f>
        <v>161149398</v>
      </c>
      <c r="I240" s="31">
        <f t="shared" si="4"/>
        <v>21.56142857</v>
      </c>
    </row>
    <row r="241">
      <c r="C241" s="27">
        <f>IFERROR(__xludf.DUMMYFUNCTION("""COMPUTED_VALUE"""),45890.66666666667)</f>
        <v>45890.66667</v>
      </c>
      <c r="D241" s="25">
        <f>IFERROR(__xludf.DUMMYFUNCTION("""COMPUTED_VALUE"""),23.53)</f>
        <v>23.53</v>
      </c>
      <c r="E241" s="25">
        <f>IFERROR(__xludf.DUMMYFUNCTION("""COMPUTED_VALUE"""),23.57)</f>
        <v>23.57</v>
      </c>
      <c r="F241" s="25">
        <f>IFERROR(__xludf.DUMMYFUNCTION("""COMPUTED_VALUE"""),22.78)</f>
        <v>22.78</v>
      </c>
      <c r="G241" s="25">
        <f>IFERROR(__xludf.DUMMYFUNCTION("""COMPUTED_VALUE"""),23.5)</f>
        <v>23.5</v>
      </c>
      <c r="H241" s="25">
        <f>IFERROR(__xludf.DUMMYFUNCTION("""COMPUTED_VALUE"""),9.7718294E7)</f>
        <v>97718294</v>
      </c>
      <c r="I241" s="31">
        <f t="shared" si="4"/>
        <v>21.56190476</v>
      </c>
    </row>
    <row r="242">
      <c r="C242" s="27">
        <f>IFERROR(__xludf.DUMMYFUNCTION("""COMPUTED_VALUE"""),45891.66666666667)</f>
        <v>45891.66667</v>
      </c>
      <c r="D242" s="25">
        <f>IFERROR(__xludf.DUMMYFUNCTION("""COMPUTED_VALUE"""),23.65)</f>
        <v>23.65</v>
      </c>
      <c r="E242" s="25">
        <f>IFERROR(__xludf.DUMMYFUNCTION("""COMPUTED_VALUE"""),25.23)</f>
        <v>25.23</v>
      </c>
      <c r="F242" s="25">
        <f>IFERROR(__xludf.DUMMYFUNCTION("""COMPUTED_VALUE"""),23.65)</f>
        <v>23.65</v>
      </c>
      <c r="G242" s="25">
        <f>IFERROR(__xludf.DUMMYFUNCTION("""COMPUTED_VALUE"""),24.8)</f>
        <v>24.8</v>
      </c>
      <c r="H242" s="25">
        <f>IFERROR(__xludf.DUMMYFUNCTION("""COMPUTED_VALUE"""),2.00266834E8)</f>
        <v>200266834</v>
      </c>
      <c r="I242" s="31">
        <f t="shared" si="4"/>
        <v>21.6652381</v>
      </c>
    </row>
    <row r="243">
      <c r="C243" s="27">
        <f>IFERROR(__xludf.DUMMYFUNCTION("""COMPUTED_VALUE"""),45894.66666666667)</f>
        <v>45894.66667</v>
      </c>
      <c r="D243" s="25">
        <f>IFERROR(__xludf.DUMMYFUNCTION("""COMPUTED_VALUE"""),25.5)</f>
        <v>25.5</v>
      </c>
      <c r="E243" s="25">
        <f>IFERROR(__xludf.DUMMYFUNCTION("""COMPUTED_VALUE"""),25.88)</f>
        <v>25.88</v>
      </c>
      <c r="F243" s="25">
        <f>IFERROR(__xludf.DUMMYFUNCTION("""COMPUTED_VALUE"""),24.44)</f>
        <v>24.44</v>
      </c>
      <c r="G243" s="25">
        <f>IFERROR(__xludf.DUMMYFUNCTION("""COMPUTED_VALUE"""),24.55)</f>
        <v>24.55</v>
      </c>
      <c r="H243" s="25">
        <f>IFERROR(__xludf.DUMMYFUNCTION("""COMPUTED_VALUE"""),1.56825631E8)</f>
        <v>156825631</v>
      </c>
      <c r="I243" s="31">
        <f t="shared" si="4"/>
        <v>21.84857143</v>
      </c>
    </row>
    <row r="244">
      <c r="C244" s="27">
        <f>IFERROR(__xludf.DUMMYFUNCTION("""COMPUTED_VALUE"""),45895.66666666667)</f>
        <v>45895.66667</v>
      </c>
      <c r="D244" s="25">
        <f>IFERROR(__xludf.DUMMYFUNCTION("""COMPUTED_VALUE"""),24.58)</f>
        <v>24.58</v>
      </c>
      <c r="E244" s="25">
        <f>IFERROR(__xludf.DUMMYFUNCTION("""COMPUTED_VALUE"""),24.74)</f>
        <v>24.74</v>
      </c>
      <c r="F244" s="25">
        <f>IFERROR(__xludf.DUMMYFUNCTION("""COMPUTED_VALUE"""),24.1)</f>
        <v>24.1</v>
      </c>
      <c r="G244" s="25">
        <f>IFERROR(__xludf.DUMMYFUNCTION("""COMPUTED_VALUE"""),24.35)</f>
        <v>24.35</v>
      </c>
      <c r="H244" s="25">
        <f>IFERROR(__xludf.DUMMYFUNCTION("""COMPUTED_VALUE"""),7.8558225E7)</f>
        <v>78558225</v>
      </c>
      <c r="I244" s="31">
        <f t="shared" si="4"/>
        <v>22.02333333</v>
      </c>
    </row>
    <row r="245">
      <c r="C245" s="27">
        <f>IFERROR(__xludf.DUMMYFUNCTION("""COMPUTED_VALUE"""),45896.66666666667)</f>
        <v>45896.66667</v>
      </c>
      <c r="D245" s="25">
        <f>IFERROR(__xludf.DUMMYFUNCTION("""COMPUTED_VALUE"""),24.19)</f>
        <v>24.19</v>
      </c>
      <c r="E245" s="25">
        <f>IFERROR(__xludf.DUMMYFUNCTION("""COMPUTED_VALUE"""),24.99)</f>
        <v>24.99</v>
      </c>
      <c r="F245" s="25">
        <f>IFERROR(__xludf.DUMMYFUNCTION("""COMPUTED_VALUE"""),24.05)</f>
        <v>24.05</v>
      </c>
      <c r="G245" s="25">
        <f>IFERROR(__xludf.DUMMYFUNCTION("""COMPUTED_VALUE"""),24.85)</f>
        <v>24.85</v>
      </c>
      <c r="H245" s="25">
        <f>IFERROR(__xludf.DUMMYFUNCTION("""COMPUTED_VALUE"""),9.093442E7)</f>
        <v>90934420</v>
      </c>
      <c r="I245" s="31">
        <f t="shared" si="4"/>
        <v>22.2347619</v>
      </c>
    </row>
    <row r="246">
      <c r="C246" s="27">
        <f>IFERROR(__xludf.DUMMYFUNCTION("""COMPUTED_VALUE"""),45897.66666666667)</f>
        <v>45897.66667</v>
      </c>
      <c r="D246" s="25">
        <f>IFERROR(__xludf.DUMMYFUNCTION("""COMPUTED_VALUE"""),24.96)</f>
        <v>24.96</v>
      </c>
      <c r="E246" s="25">
        <f>IFERROR(__xludf.DUMMYFUNCTION("""COMPUTED_VALUE"""),25.14)</f>
        <v>25.14</v>
      </c>
      <c r="F246" s="25">
        <f>IFERROR(__xludf.DUMMYFUNCTION("""COMPUTED_VALUE"""),24.61)</f>
        <v>24.61</v>
      </c>
      <c r="G246" s="25">
        <f>IFERROR(__xludf.DUMMYFUNCTION("""COMPUTED_VALUE"""),24.93)</f>
        <v>24.93</v>
      </c>
      <c r="H246" s="25">
        <f>IFERROR(__xludf.DUMMYFUNCTION("""COMPUTED_VALUE"""),6.0035093E7)</f>
        <v>60035093</v>
      </c>
      <c r="I246" s="31">
        <f t="shared" si="4"/>
        <v>22.45333333</v>
      </c>
    </row>
    <row r="247">
      <c r="C247" s="27">
        <f>IFERROR(__xludf.DUMMYFUNCTION("""COMPUTED_VALUE"""),45898.66666666667)</f>
        <v>45898.66667</v>
      </c>
      <c r="D247" s="25">
        <f>IFERROR(__xludf.DUMMYFUNCTION("""COMPUTED_VALUE"""),24.76)</f>
        <v>24.76</v>
      </c>
      <c r="E247" s="25">
        <f>IFERROR(__xludf.DUMMYFUNCTION("""COMPUTED_VALUE"""),24.97)</f>
        <v>24.97</v>
      </c>
      <c r="F247" s="25">
        <f>IFERROR(__xludf.DUMMYFUNCTION("""COMPUTED_VALUE"""),24.28)</f>
        <v>24.28</v>
      </c>
      <c r="G247" s="25">
        <f>IFERROR(__xludf.DUMMYFUNCTION("""COMPUTED_VALUE"""),24.35)</f>
        <v>24.35</v>
      </c>
      <c r="H247" s="25">
        <f>IFERROR(__xludf.DUMMYFUNCTION("""COMPUTED_VALUE"""),6.3734417E7)</f>
        <v>63734417</v>
      </c>
      <c r="I247" s="31">
        <f t="shared" si="4"/>
        <v>22.67</v>
      </c>
    </row>
    <row r="248">
      <c r="C248" s="27">
        <f>IFERROR(__xludf.DUMMYFUNCTION("""COMPUTED_VALUE"""),45902.66666666667)</f>
        <v>45902.66667</v>
      </c>
      <c r="D248" s="25">
        <f>IFERROR(__xludf.DUMMYFUNCTION("""COMPUTED_VALUE"""),23.88)</f>
        <v>23.88</v>
      </c>
      <c r="E248" s="25">
        <f>IFERROR(__xludf.DUMMYFUNCTION("""COMPUTED_VALUE"""),24.24)</f>
        <v>24.24</v>
      </c>
      <c r="F248" s="25">
        <f>IFERROR(__xludf.DUMMYFUNCTION("""COMPUTED_VALUE"""),23.68)</f>
        <v>23.68</v>
      </c>
      <c r="G248" s="25">
        <f>IFERROR(__xludf.DUMMYFUNCTION("""COMPUTED_VALUE"""),24.21)</f>
        <v>24.21</v>
      </c>
      <c r="H248" s="25">
        <f>IFERROR(__xludf.DUMMYFUNCTION("""COMPUTED_VALUE"""),5.7661836E7)</f>
        <v>57661836</v>
      </c>
      <c r="I248" s="31">
        <f t="shared" si="4"/>
        <v>22.90333333</v>
      </c>
    </row>
    <row r="249">
      <c r="C249" s="27">
        <f>IFERROR(__xludf.DUMMYFUNCTION("""COMPUTED_VALUE"""),45903.66666666667)</f>
        <v>45903.66667</v>
      </c>
      <c r="D249" s="25">
        <f>IFERROR(__xludf.DUMMYFUNCTION("""COMPUTED_VALUE"""),24.09)</f>
        <v>24.09</v>
      </c>
      <c r="E249" s="25">
        <f>IFERROR(__xludf.DUMMYFUNCTION("""COMPUTED_VALUE"""),24.09)</f>
        <v>24.09</v>
      </c>
      <c r="F249" s="25">
        <f>IFERROR(__xludf.DUMMYFUNCTION("""COMPUTED_VALUE"""),23.72)</f>
        <v>23.72</v>
      </c>
      <c r="G249" s="25">
        <f>IFERROR(__xludf.DUMMYFUNCTION("""COMPUTED_VALUE"""),24.0)</f>
        <v>24</v>
      </c>
      <c r="H249" s="25">
        <f>IFERROR(__xludf.DUMMYFUNCTION("""COMPUTED_VALUE"""),4.7822866E7)</f>
        <v>47822866</v>
      </c>
      <c r="I249" s="31">
        <f t="shared" si="4"/>
        <v>23.11761905</v>
      </c>
    </row>
    <row r="250">
      <c r="C250" s="27">
        <f>IFERROR(__xludf.DUMMYFUNCTION("""COMPUTED_VALUE"""),45904.66666666667)</f>
        <v>45904.66667</v>
      </c>
      <c r="D250" s="25">
        <f>IFERROR(__xludf.DUMMYFUNCTION("""COMPUTED_VALUE"""),23.85)</f>
        <v>23.85</v>
      </c>
      <c r="E250" s="25">
        <f>IFERROR(__xludf.DUMMYFUNCTION("""COMPUTED_VALUE"""),24.64)</f>
        <v>24.64</v>
      </c>
      <c r="F250" s="25">
        <f>IFERROR(__xludf.DUMMYFUNCTION("""COMPUTED_VALUE"""),23.75)</f>
        <v>23.75</v>
      </c>
      <c r="G250" s="25">
        <f>IFERROR(__xludf.DUMMYFUNCTION("""COMPUTED_VALUE"""),24.61)</f>
        <v>24.61</v>
      </c>
      <c r="H250" s="25">
        <f>IFERROR(__xludf.DUMMYFUNCTION("""COMPUTED_VALUE"""),5.9056496E7)</f>
        <v>59056496</v>
      </c>
      <c r="I250" s="31">
        <f t="shared" si="4"/>
        <v>23.32809524</v>
      </c>
    </row>
    <row r="251">
      <c r="C251" s="27">
        <f>IFERROR(__xludf.DUMMYFUNCTION("""COMPUTED_VALUE"""),45905.66666666667)</f>
        <v>45905.66667</v>
      </c>
      <c r="D251" s="25">
        <f>IFERROR(__xludf.DUMMYFUNCTION("""COMPUTED_VALUE"""),24.6)</f>
        <v>24.6</v>
      </c>
      <c r="E251" s="25">
        <f>IFERROR(__xludf.DUMMYFUNCTION("""COMPUTED_VALUE"""),24.71)</f>
        <v>24.71</v>
      </c>
      <c r="F251" s="25">
        <f>IFERROR(__xludf.DUMMYFUNCTION("""COMPUTED_VALUE"""),24.17)</f>
        <v>24.17</v>
      </c>
      <c r="G251" s="25">
        <f>IFERROR(__xludf.DUMMYFUNCTION("""COMPUTED_VALUE"""),24.49)</f>
        <v>24.49</v>
      </c>
      <c r="H251" s="25">
        <f>IFERROR(__xludf.DUMMYFUNCTION("""COMPUTED_VALUE"""),5.597527E7)</f>
        <v>55975270</v>
      </c>
      <c r="I251" s="31">
        <f t="shared" si="4"/>
        <v>23.52238095</v>
      </c>
    </row>
    <row r="252">
      <c r="C252" s="27">
        <f>IFERROR(__xludf.DUMMYFUNCTION("""COMPUTED_VALUE"""),45908.66666666667)</f>
        <v>45908.66667</v>
      </c>
      <c r="D252" s="25">
        <f>IFERROR(__xludf.DUMMYFUNCTION("""COMPUTED_VALUE"""),24.48)</f>
        <v>24.48</v>
      </c>
      <c r="E252" s="25">
        <f>IFERROR(__xludf.DUMMYFUNCTION("""COMPUTED_VALUE"""),24.74)</f>
        <v>24.74</v>
      </c>
      <c r="F252" s="25">
        <f>IFERROR(__xludf.DUMMYFUNCTION("""COMPUTED_VALUE"""),24.12)</f>
        <v>24.12</v>
      </c>
      <c r="G252" s="25">
        <f>IFERROR(__xludf.DUMMYFUNCTION("""COMPUTED_VALUE"""),24.48)</f>
        <v>24.48</v>
      </c>
      <c r="H252" s="25">
        <f>IFERROR(__xludf.DUMMYFUNCTION("""COMPUTED_VALUE"""),5.1122136E7)</f>
        <v>51122136</v>
      </c>
      <c r="I252" s="31">
        <f t="shared" si="4"/>
        <v>23.74666667</v>
      </c>
    </row>
    <row r="253">
      <c r="C253" s="27">
        <f>IFERROR(__xludf.DUMMYFUNCTION("""COMPUTED_VALUE"""),45909.66666666667)</f>
        <v>45909.66667</v>
      </c>
      <c r="D253" s="25">
        <f>IFERROR(__xludf.DUMMYFUNCTION("""COMPUTED_VALUE"""),24.53)</f>
        <v>24.53</v>
      </c>
      <c r="E253" s="25">
        <f>IFERROR(__xludf.DUMMYFUNCTION("""COMPUTED_VALUE"""),24.81)</f>
        <v>24.81</v>
      </c>
      <c r="F253" s="25">
        <f>IFERROR(__xludf.DUMMYFUNCTION("""COMPUTED_VALUE"""),24.27)</f>
        <v>24.27</v>
      </c>
      <c r="G253" s="25">
        <f>IFERROR(__xludf.DUMMYFUNCTION("""COMPUTED_VALUE"""),24.44)</f>
        <v>24.44</v>
      </c>
      <c r="H253" s="25">
        <f>IFERROR(__xludf.DUMMYFUNCTION("""COMPUTED_VALUE"""),4.2146182E7)</f>
        <v>42146182</v>
      </c>
      <c r="I253" s="31">
        <f t="shared" si="4"/>
        <v>23.96047619</v>
      </c>
    </row>
    <row r="254">
      <c r="C254" s="27">
        <f>IFERROR(__xludf.DUMMYFUNCTION("""COMPUTED_VALUE"""),45910.66666666667)</f>
        <v>45910.66667</v>
      </c>
      <c r="D254" s="25">
        <f>IFERROR(__xludf.DUMMYFUNCTION("""COMPUTED_VALUE"""),24.42)</f>
        <v>24.42</v>
      </c>
      <c r="E254" s="25">
        <f>IFERROR(__xludf.DUMMYFUNCTION("""COMPUTED_VALUE"""),24.87)</f>
        <v>24.87</v>
      </c>
      <c r="F254" s="25">
        <f>IFERROR(__xludf.DUMMYFUNCTION("""COMPUTED_VALUE"""),24.28)</f>
        <v>24.28</v>
      </c>
      <c r="G254" s="25">
        <f>IFERROR(__xludf.DUMMYFUNCTION("""COMPUTED_VALUE"""),24.77)</f>
        <v>24.77</v>
      </c>
      <c r="H254" s="25">
        <f>IFERROR(__xludf.DUMMYFUNCTION("""COMPUTED_VALUE"""),6.1600705E7)</f>
        <v>61600705</v>
      </c>
      <c r="I254" s="31">
        <f t="shared" si="4"/>
        <v>24.15666667</v>
      </c>
    </row>
    <row r="255">
      <c r="C255" s="27">
        <f>IFERROR(__xludf.DUMMYFUNCTION("""COMPUTED_VALUE"""),45911.66666666667)</f>
        <v>45911.66667</v>
      </c>
      <c r="D255" s="25">
        <f>IFERROR(__xludf.DUMMYFUNCTION("""COMPUTED_VALUE"""),24.76)</f>
        <v>24.76</v>
      </c>
      <c r="E255" s="25">
        <f>IFERROR(__xludf.DUMMYFUNCTION("""COMPUTED_VALUE"""),24.93)</f>
        <v>24.93</v>
      </c>
      <c r="F255" s="25">
        <f>IFERROR(__xludf.DUMMYFUNCTION("""COMPUTED_VALUE"""),24.57)</f>
        <v>24.57</v>
      </c>
      <c r="G255" s="25">
        <f>IFERROR(__xludf.DUMMYFUNCTION("""COMPUTED_VALUE"""),24.61)</f>
        <v>24.61</v>
      </c>
      <c r="H255" s="25">
        <f>IFERROR(__xludf.DUMMYFUNCTION("""COMPUTED_VALUE"""),5.5536921E7)</f>
        <v>55536921</v>
      </c>
      <c r="I255" s="31">
        <f t="shared" si="4"/>
        <v>24.29</v>
      </c>
    </row>
    <row r="256">
      <c r="C256" s="27">
        <f>IFERROR(__xludf.DUMMYFUNCTION("""COMPUTED_VALUE"""),45912.66666666667)</f>
        <v>45912.66667</v>
      </c>
      <c r="D256" s="25">
        <f>IFERROR(__xludf.DUMMYFUNCTION("""COMPUTED_VALUE"""),24.61)</f>
        <v>24.61</v>
      </c>
      <c r="E256" s="25">
        <f>IFERROR(__xludf.DUMMYFUNCTION("""COMPUTED_VALUE"""),24.63)</f>
        <v>24.63</v>
      </c>
      <c r="F256" s="25">
        <f>IFERROR(__xludf.DUMMYFUNCTION("""COMPUTED_VALUE"""),24.05)</f>
        <v>24.05</v>
      </c>
      <c r="G256" s="25">
        <f>IFERROR(__xludf.DUMMYFUNCTION("""COMPUTED_VALUE"""),24.08)</f>
        <v>24.08</v>
      </c>
      <c r="H256" s="25">
        <f>IFERROR(__xludf.DUMMYFUNCTION("""COMPUTED_VALUE"""),5.2672821E7)</f>
        <v>52672821</v>
      </c>
      <c r="I256" s="31">
        <f t="shared" si="4"/>
        <v>24.37857143</v>
      </c>
    </row>
    <row r="257">
      <c r="C257" s="27">
        <f>IFERROR(__xludf.DUMMYFUNCTION("""COMPUTED_VALUE"""),45915.66666666667)</f>
        <v>45915.66667</v>
      </c>
      <c r="D257" s="25">
        <f>IFERROR(__xludf.DUMMYFUNCTION("""COMPUTED_VALUE"""),24.33)</f>
        <v>24.33</v>
      </c>
      <c r="E257" s="25">
        <f>IFERROR(__xludf.DUMMYFUNCTION("""COMPUTED_VALUE"""),25.46)</f>
        <v>25.46</v>
      </c>
      <c r="F257" s="25">
        <f>IFERROR(__xludf.DUMMYFUNCTION("""COMPUTED_VALUE"""),24.22)</f>
        <v>24.22</v>
      </c>
      <c r="G257" s="25">
        <f>IFERROR(__xludf.DUMMYFUNCTION("""COMPUTED_VALUE"""),24.77)</f>
        <v>24.77</v>
      </c>
      <c r="H257" s="25">
        <f>IFERROR(__xludf.DUMMYFUNCTION("""COMPUTED_VALUE"""),8.3951622E7)</f>
        <v>83951622</v>
      </c>
      <c r="I257" s="31">
        <f t="shared" si="4"/>
        <v>24.42190476</v>
      </c>
    </row>
    <row r="258">
      <c r="C258" s="27">
        <f>IFERROR(__xludf.DUMMYFUNCTION("""COMPUTED_VALUE"""),45916.66666666667)</f>
        <v>45916.66667</v>
      </c>
      <c r="D258" s="25">
        <f>IFERROR(__xludf.DUMMYFUNCTION("""COMPUTED_VALUE"""),24.82)</f>
        <v>24.82</v>
      </c>
      <c r="E258" s="25">
        <f>IFERROR(__xludf.DUMMYFUNCTION("""COMPUTED_VALUE"""),25.34)</f>
        <v>25.34</v>
      </c>
      <c r="F258" s="25">
        <f>IFERROR(__xludf.DUMMYFUNCTION("""COMPUTED_VALUE"""),24.69)</f>
        <v>24.69</v>
      </c>
      <c r="G258" s="25">
        <f>IFERROR(__xludf.DUMMYFUNCTION("""COMPUTED_VALUE"""),25.27)</f>
        <v>25.27</v>
      </c>
      <c r="H258" s="25">
        <f>IFERROR(__xludf.DUMMYFUNCTION("""COMPUTED_VALUE"""),6.0336569E7)</f>
        <v>60336569</v>
      </c>
      <c r="I258" s="31">
        <f t="shared" si="4"/>
        <v>24.45571429</v>
      </c>
    </row>
    <row r="259">
      <c r="C259" s="27">
        <f>IFERROR(__xludf.DUMMYFUNCTION("""COMPUTED_VALUE"""),45917.66666666667)</f>
        <v>45917.66667</v>
      </c>
      <c r="D259" s="25">
        <f>IFERROR(__xludf.DUMMYFUNCTION("""COMPUTED_VALUE"""),25.08)</f>
        <v>25.08</v>
      </c>
      <c r="E259" s="25">
        <f>IFERROR(__xludf.DUMMYFUNCTION("""COMPUTED_VALUE"""),25.26)</f>
        <v>25.26</v>
      </c>
      <c r="F259" s="25">
        <f>IFERROR(__xludf.DUMMYFUNCTION("""COMPUTED_VALUE"""),24.45)</f>
        <v>24.45</v>
      </c>
      <c r="G259" s="25">
        <f>IFERROR(__xludf.DUMMYFUNCTION("""COMPUTED_VALUE"""),24.9)</f>
        <v>24.9</v>
      </c>
      <c r="H259" s="25">
        <f>IFERROR(__xludf.DUMMYFUNCTION("""COMPUTED_VALUE"""),6.3093682E7)</f>
        <v>63093682</v>
      </c>
      <c r="I259" s="31">
        <f t="shared" si="4"/>
        <v>24.5147619</v>
      </c>
    </row>
    <row r="260">
      <c r="C260" s="27">
        <f>IFERROR(__xludf.DUMMYFUNCTION("""COMPUTED_VALUE"""),45918.66666666667)</f>
        <v>45918.66667</v>
      </c>
      <c r="D260" s="25">
        <f>IFERROR(__xludf.DUMMYFUNCTION("""COMPUTED_VALUE"""),31.78)</f>
        <v>31.78</v>
      </c>
      <c r="E260" s="25">
        <f>IFERROR(__xludf.DUMMYFUNCTION("""COMPUTED_VALUE"""),32.38)</f>
        <v>32.38</v>
      </c>
      <c r="F260" s="25">
        <f>IFERROR(__xludf.DUMMYFUNCTION("""COMPUTED_VALUE"""),30.16)</f>
        <v>30.16</v>
      </c>
      <c r="G260" s="25">
        <f>IFERROR(__xludf.DUMMYFUNCTION("""COMPUTED_VALUE"""),30.57)</f>
        <v>30.57</v>
      </c>
      <c r="H260" s="25">
        <f>IFERROR(__xludf.DUMMYFUNCTION("""COMPUTED_VALUE"""),5.23907959E8)</f>
        <v>523907959</v>
      </c>
      <c r="I260" s="31">
        <f t="shared" si="4"/>
        <v>24.7652381</v>
      </c>
    </row>
    <row r="261">
      <c r="C261" s="27">
        <f>IFERROR(__xludf.DUMMYFUNCTION("""COMPUTED_VALUE"""),45919.66666666667)</f>
        <v>45919.66667</v>
      </c>
      <c r="D261" s="25">
        <f>IFERROR(__xludf.DUMMYFUNCTION("""COMPUTED_VALUE"""),30.38)</f>
        <v>30.38</v>
      </c>
      <c r="E261" s="25">
        <f>IFERROR(__xludf.DUMMYFUNCTION("""COMPUTED_VALUE"""),30.63)</f>
        <v>30.63</v>
      </c>
      <c r="F261" s="25">
        <f>IFERROR(__xludf.DUMMYFUNCTION("""COMPUTED_VALUE"""),29.33)</f>
        <v>29.33</v>
      </c>
      <c r="G261" s="25">
        <f>IFERROR(__xludf.DUMMYFUNCTION("""COMPUTED_VALUE"""),29.58)</f>
        <v>29.58</v>
      </c>
      <c r="H261" s="25">
        <f>IFERROR(__xludf.DUMMYFUNCTION("""COMPUTED_VALUE"""),2.25702854E8)</f>
        <v>225702854</v>
      </c>
      <c r="I261" s="31">
        <f t="shared" si="4"/>
        <v>25.05285714</v>
      </c>
    </row>
    <row r="262">
      <c r="C262" s="27">
        <f>IFERROR(__xludf.DUMMYFUNCTION("""COMPUTED_VALUE"""),45922.66666666667)</f>
        <v>45922.66667</v>
      </c>
      <c r="D262" s="25">
        <f>IFERROR(__xludf.DUMMYFUNCTION("""COMPUTED_VALUE"""),29.67)</f>
        <v>29.67</v>
      </c>
      <c r="E262" s="25">
        <f>IFERROR(__xludf.DUMMYFUNCTION("""COMPUTED_VALUE"""),30.1)</f>
        <v>30.1</v>
      </c>
      <c r="F262" s="25">
        <f>IFERROR(__xludf.DUMMYFUNCTION("""COMPUTED_VALUE"""),28.73)</f>
        <v>28.73</v>
      </c>
      <c r="G262" s="25">
        <f>IFERROR(__xludf.DUMMYFUNCTION("""COMPUTED_VALUE"""),28.76)</f>
        <v>28.76</v>
      </c>
      <c r="H262" s="25">
        <f>IFERROR(__xludf.DUMMYFUNCTION("""COMPUTED_VALUE"""),1.30314474E8)</f>
        <v>130314474</v>
      </c>
      <c r="I262" s="31">
        <f t="shared" si="4"/>
        <v>25.30333333</v>
      </c>
    </row>
    <row r="263">
      <c r="C263" s="27">
        <f>IFERROR(__xludf.DUMMYFUNCTION("""COMPUTED_VALUE"""),45923.66666666667)</f>
        <v>45923.66667</v>
      </c>
      <c r="D263" s="25">
        <f>IFERROR(__xludf.DUMMYFUNCTION("""COMPUTED_VALUE"""),28.99)</f>
        <v>28.99</v>
      </c>
      <c r="E263" s="25">
        <f>IFERROR(__xludf.DUMMYFUNCTION("""COMPUTED_VALUE"""),30.2)</f>
        <v>30.2</v>
      </c>
      <c r="F263" s="25">
        <f>IFERROR(__xludf.DUMMYFUNCTION("""COMPUTED_VALUE"""),28.82)</f>
        <v>28.82</v>
      </c>
      <c r="G263" s="25">
        <f>IFERROR(__xludf.DUMMYFUNCTION("""COMPUTED_VALUE"""),29.34)</f>
        <v>29.34</v>
      </c>
      <c r="H263" s="25">
        <f>IFERROR(__xludf.DUMMYFUNCTION("""COMPUTED_VALUE"""),1.26317911E8)</f>
        <v>126317911</v>
      </c>
      <c r="I263" s="31">
        <f t="shared" si="4"/>
        <v>25.51952381</v>
      </c>
    </row>
    <row r="264">
      <c r="C264" s="27">
        <f>IFERROR(__xludf.DUMMYFUNCTION("""COMPUTED_VALUE"""),45924.66666666667)</f>
        <v>45924.66667</v>
      </c>
      <c r="D264" s="25">
        <f>IFERROR(__xludf.DUMMYFUNCTION("""COMPUTED_VALUE"""),28.99)</f>
        <v>28.99</v>
      </c>
      <c r="E264" s="25">
        <f>IFERROR(__xludf.DUMMYFUNCTION("""COMPUTED_VALUE"""),30.2)</f>
        <v>30.2</v>
      </c>
      <c r="F264" s="25">
        <f>IFERROR(__xludf.DUMMYFUNCTION("""COMPUTED_VALUE"""),28.82)</f>
        <v>28.82</v>
      </c>
      <c r="G264" s="25">
        <f>IFERROR(__xludf.DUMMYFUNCTION("""COMPUTED_VALUE"""),29.34)</f>
        <v>29.34</v>
      </c>
      <c r="H264" s="25">
        <f>IFERROR(__xludf.DUMMYFUNCTION("""COMPUTED_VALUE"""),2929381.0)</f>
        <v>2929381</v>
      </c>
      <c r="I264" s="31">
        <f t="shared" si="4"/>
        <v>25.74761905</v>
      </c>
    </row>
    <row r="265">
      <c r="C265" s="27">
        <f>IFERROR(__xludf.DUMMYFUNCTION("""COMPUTED_VALUE"""),45926.66666666667)</f>
        <v>45926.66667</v>
      </c>
      <c r="D265" s="25">
        <f>IFERROR(__xludf.DUMMYFUNCTION("""COMPUTED_VALUE"""),35.02)</f>
        <v>35.02</v>
      </c>
      <c r="E265" s="25">
        <f>IFERROR(__xludf.DUMMYFUNCTION("""COMPUTED_VALUE"""),36.3)</f>
        <v>36.3</v>
      </c>
      <c r="F265" s="25">
        <f>IFERROR(__xludf.DUMMYFUNCTION("""COMPUTED_VALUE"""),34.49)</f>
        <v>34.49</v>
      </c>
      <c r="G265" s="25">
        <f>IFERROR(__xludf.DUMMYFUNCTION("""COMPUTED_VALUE"""),35.5)</f>
        <v>35.5</v>
      </c>
      <c r="H265" s="25">
        <f>IFERROR(__xludf.DUMMYFUNCTION("""COMPUTED_VALUE"""),2.68583278E8)</f>
        <v>268583278</v>
      </c>
      <c r="I265" s="31">
        <f t="shared" si="4"/>
        <v>26.27857143</v>
      </c>
    </row>
    <row r="266">
      <c r="C266" s="27">
        <f>IFERROR(__xludf.DUMMYFUNCTION("""COMPUTED_VALUE"""),45929.66666666667)</f>
        <v>45929.66667</v>
      </c>
      <c r="D266" s="25">
        <f>IFERROR(__xludf.DUMMYFUNCTION("""COMPUTED_VALUE"""),34.52)</f>
        <v>34.52</v>
      </c>
      <c r="E266" s="25">
        <f>IFERROR(__xludf.DUMMYFUNCTION("""COMPUTED_VALUE"""),35.05)</f>
        <v>35.05</v>
      </c>
      <c r="F266" s="25">
        <f>IFERROR(__xludf.DUMMYFUNCTION("""COMPUTED_VALUE"""),33.73)</f>
        <v>33.73</v>
      </c>
      <c r="G266" s="25">
        <f>IFERROR(__xludf.DUMMYFUNCTION("""COMPUTED_VALUE"""),34.48)</f>
        <v>34.48</v>
      </c>
      <c r="H266" s="25">
        <f>IFERROR(__xludf.DUMMYFUNCTION("""COMPUTED_VALUE"""),1.52605909E8)</f>
        <v>152605909</v>
      </c>
      <c r="I266" s="31">
        <f t="shared" si="4"/>
        <v>26.73714286</v>
      </c>
    </row>
    <row r="267">
      <c r="C267" s="27">
        <f>IFERROR(__xludf.DUMMYFUNCTION("""COMPUTED_VALUE"""),45930.66666666667)</f>
        <v>45930.66667</v>
      </c>
      <c r="D267" s="25">
        <f>IFERROR(__xludf.DUMMYFUNCTION("""COMPUTED_VALUE"""),33.93)</f>
        <v>33.93</v>
      </c>
      <c r="E267" s="25">
        <f>IFERROR(__xludf.DUMMYFUNCTION("""COMPUTED_VALUE"""),34.24)</f>
        <v>34.24</v>
      </c>
      <c r="F267" s="25">
        <f>IFERROR(__xludf.DUMMYFUNCTION("""COMPUTED_VALUE"""),33.02)</f>
        <v>33.02</v>
      </c>
      <c r="G267" s="25">
        <f>IFERROR(__xludf.DUMMYFUNCTION("""COMPUTED_VALUE"""),33.55)</f>
        <v>33.55</v>
      </c>
      <c r="H267" s="25">
        <f>IFERROR(__xludf.DUMMYFUNCTION("""COMPUTED_VALUE"""),1.24818376E8)</f>
        <v>124818376</v>
      </c>
      <c r="I267" s="31">
        <f t="shared" si="4"/>
        <v>27.14761905</v>
      </c>
    </row>
    <row r="268">
      <c r="C268" s="27">
        <f>IFERROR(__xludf.DUMMYFUNCTION("""COMPUTED_VALUE"""),45931.66666666667)</f>
        <v>45931.66667</v>
      </c>
      <c r="D268" s="25">
        <f>IFERROR(__xludf.DUMMYFUNCTION("""COMPUTED_VALUE"""),33.53)</f>
        <v>33.53</v>
      </c>
      <c r="E268" s="25">
        <f>IFERROR(__xludf.DUMMYFUNCTION("""COMPUTED_VALUE"""),36.06)</f>
        <v>36.06</v>
      </c>
      <c r="F268" s="25">
        <f>IFERROR(__xludf.DUMMYFUNCTION("""COMPUTED_VALUE"""),33.5)</f>
        <v>33.5</v>
      </c>
      <c r="G268" s="25">
        <f>IFERROR(__xludf.DUMMYFUNCTION("""COMPUTED_VALUE"""),35.94)</f>
        <v>35.94</v>
      </c>
      <c r="H268" s="25">
        <f>IFERROR(__xludf.DUMMYFUNCTION("""COMPUTED_VALUE"""),1.6264965E8)</f>
        <v>162649650</v>
      </c>
      <c r="I268" s="31">
        <f t="shared" si="4"/>
        <v>27.69952381</v>
      </c>
    </row>
    <row r="269">
      <c r="C269" s="27">
        <f>IFERROR(__xludf.DUMMYFUNCTION("""COMPUTED_VALUE"""),45932.66666666667)</f>
        <v>45932.66667</v>
      </c>
      <c r="D269" s="25">
        <f>IFERROR(__xludf.DUMMYFUNCTION("""COMPUTED_VALUE"""),35.76)</f>
        <v>35.76</v>
      </c>
      <c r="E269" s="25">
        <f>IFERROR(__xludf.DUMMYFUNCTION("""COMPUTED_VALUE"""),37.57)</f>
        <v>37.57</v>
      </c>
      <c r="F269" s="25">
        <f>IFERROR(__xludf.DUMMYFUNCTION("""COMPUTED_VALUE"""),35.44)</f>
        <v>35.44</v>
      </c>
      <c r="G269" s="25">
        <f>IFERROR(__xludf.DUMMYFUNCTION("""COMPUTED_VALUE"""),37.3)</f>
        <v>37.3</v>
      </c>
      <c r="H269" s="25">
        <f>IFERROR(__xludf.DUMMYFUNCTION("""COMPUTED_VALUE"""),1.49361652E8)</f>
        <v>149361652</v>
      </c>
      <c r="I269" s="31">
        <f t="shared" si="4"/>
        <v>28.32285714</v>
      </c>
    </row>
    <row r="270">
      <c r="C270" s="27">
        <f>IFERROR(__xludf.DUMMYFUNCTION("""COMPUTED_VALUE"""),45933.66666666667)</f>
        <v>45933.66667</v>
      </c>
      <c r="D270" s="25">
        <f>IFERROR(__xludf.DUMMYFUNCTION("""COMPUTED_VALUE"""),37.95)</f>
        <v>37.95</v>
      </c>
      <c r="E270" s="25">
        <f>IFERROR(__xludf.DUMMYFUNCTION("""COMPUTED_VALUE"""),38.08)</f>
        <v>38.08</v>
      </c>
      <c r="F270" s="25">
        <f>IFERROR(__xludf.DUMMYFUNCTION("""COMPUTED_VALUE"""),36.45)</f>
        <v>36.45</v>
      </c>
      <c r="G270" s="25">
        <f>IFERROR(__xludf.DUMMYFUNCTION("""COMPUTED_VALUE"""),36.83)</f>
        <v>36.83</v>
      </c>
      <c r="H270" s="25">
        <f>IFERROR(__xludf.DUMMYFUNCTION("""COMPUTED_VALUE"""),1.25359342E8)</f>
        <v>125359342</v>
      </c>
      <c r="I270" s="31">
        <f t="shared" si="4"/>
        <v>28.93380952</v>
      </c>
    </row>
    <row r="271">
      <c r="C271" s="27">
        <f>IFERROR(__xludf.DUMMYFUNCTION("""COMPUTED_VALUE"""),45936.66666666667)</f>
        <v>45936.66667</v>
      </c>
      <c r="D271" s="25">
        <f>IFERROR(__xludf.DUMMYFUNCTION("""COMPUTED_VALUE"""),37.19)</f>
        <v>37.19</v>
      </c>
      <c r="E271" s="25">
        <f>IFERROR(__xludf.DUMMYFUNCTION("""COMPUTED_VALUE"""),38.68)</f>
        <v>38.68</v>
      </c>
      <c r="F271" s="25">
        <f>IFERROR(__xludf.DUMMYFUNCTION("""COMPUTED_VALUE"""),36.43)</f>
        <v>36.43</v>
      </c>
      <c r="G271" s="25">
        <f>IFERROR(__xludf.DUMMYFUNCTION("""COMPUTED_VALUE"""),36.59)</f>
        <v>36.59</v>
      </c>
      <c r="H271" s="25">
        <f>IFERROR(__xludf.DUMMYFUNCTION("""COMPUTED_VALUE"""),1.12086069E8)</f>
        <v>112086069</v>
      </c>
      <c r="I271" s="31">
        <f t="shared" si="4"/>
        <v>29.50428571</v>
      </c>
    </row>
    <row r="272">
      <c r="C272" s="27">
        <f>IFERROR(__xludf.DUMMYFUNCTION("""COMPUTED_VALUE"""),45937.66666666667)</f>
        <v>45937.66667</v>
      </c>
      <c r="D272" s="25">
        <f>IFERROR(__xludf.DUMMYFUNCTION("""COMPUTED_VALUE"""),36.64)</f>
        <v>36.64</v>
      </c>
      <c r="E272" s="25">
        <f>IFERROR(__xludf.DUMMYFUNCTION("""COMPUTED_VALUE"""),38.05)</f>
        <v>38.05</v>
      </c>
      <c r="F272" s="25">
        <f>IFERROR(__xludf.DUMMYFUNCTION("""COMPUTED_VALUE"""),36.35)</f>
        <v>36.35</v>
      </c>
      <c r="G272" s="25">
        <f>IFERROR(__xludf.DUMMYFUNCTION("""COMPUTED_VALUE"""),37.17)</f>
        <v>37.17</v>
      </c>
      <c r="H272" s="25">
        <f>IFERROR(__xludf.DUMMYFUNCTION("""COMPUTED_VALUE"""),1.11140155E8)</f>
        <v>111140155</v>
      </c>
      <c r="I272" s="31">
        <f t="shared" si="4"/>
        <v>30.10809524</v>
      </c>
    </row>
    <row r="273">
      <c r="C273" s="27">
        <f>IFERROR(__xludf.DUMMYFUNCTION("""COMPUTED_VALUE"""),45938.66666666667)</f>
        <v>45938.66667</v>
      </c>
      <c r="D273" s="25">
        <f>IFERROR(__xludf.DUMMYFUNCTION("""COMPUTED_VALUE"""),36.55)</f>
        <v>36.55</v>
      </c>
      <c r="E273" s="25">
        <f>IFERROR(__xludf.DUMMYFUNCTION("""COMPUTED_VALUE"""),37.79)</f>
        <v>37.79</v>
      </c>
      <c r="F273" s="25">
        <f>IFERROR(__xludf.DUMMYFUNCTION("""COMPUTED_VALUE"""),35.91)</f>
        <v>35.91</v>
      </c>
      <c r="G273" s="25">
        <f>IFERROR(__xludf.DUMMYFUNCTION("""COMPUTED_VALUE"""),37.43)</f>
        <v>37.43</v>
      </c>
      <c r="H273" s="25">
        <f>IFERROR(__xludf.DUMMYFUNCTION("""COMPUTED_VALUE"""),1.03202085E8)</f>
        <v>103202085</v>
      </c>
      <c r="I273" s="31">
        <f t="shared" si="4"/>
        <v>30.7247619</v>
      </c>
    </row>
    <row r="274">
      <c r="C274" s="27">
        <f>IFERROR(__xludf.DUMMYFUNCTION("""COMPUTED_VALUE"""),45939.66666666667)</f>
        <v>45939.66667</v>
      </c>
      <c r="D274" s="25">
        <f>IFERROR(__xludf.DUMMYFUNCTION("""COMPUTED_VALUE"""),37.53)</f>
        <v>37.53</v>
      </c>
      <c r="E274" s="25">
        <f>IFERROR(__xludf.DUMMYFUNCTION("""COMPUTED_VALUE"""),38.1)</f>
        <v>38.1</v>
      </c>
      <c r="F274" s="25">
        <f>IFERROR(__xludf.DUMMYFUNCTION("""COMPUTED_VALUE"""),36.86)</f>
        <v>36.86</v>
      </c>
      <c r="G274" s="25">
        <f>IFERROR(__xludf.DUMMYFUNCTION("""COMPUTED_VALUE"""),37.8)</f>
        <v>37.8</v>
      </c>
      <c r="H274" s="25">
        <f>IFERROR(__xludf.DUMMYFUNCTION("""COMPUTED_VALUE"""),8.9884658E7)</f>
        <v>89884658</v>
      </c>
      <c r="I274" s="31">
        <f t="shared" si="4"/>
        <v>31.36095238</v>
      </c>
    </row>
    <row r="275">
      <c r="C275" s="27">
        <f>IFERROR(__xludf.DUMMYFUNCTION("""COMPUTED_VALUE"""),45940.66666666667)</f>
        <v>45940.66667</v>
      </c>
      <c r="D275" s="25">
        <f>IFERROR(__xludf.DUMMYFUNCTION("""COMPUTED_VALUE"""),38.46)</f>
        <v>38.46</v>
      </c>
      <c r="E275" s="25">
        <f>IFERROR(__xludf.DUMMYFUNCTION("""COMPUTED_VALUE"""),39.65)</f>
        <v>39.65</v>
      </c>
      <c r="F275" s="25">
        <f>IFERROR(__xludf.DUMMYFUNCTION("""COMPUTED_VALUE"""),36.3)</f>
        <v>36.3</v>
      </c>
      <c r="G275" s="25">
        <f>IFERROR(__xludf.DUMMYFUNCTION("""COMPUTED_VALUE"""),36.37)</f>
        <v>36.37</v>
      </c>
      <c r="H275" s="25">
        <f>IFERROR(__xludf.DUMMYFUNCTION("""COMPUTED_VALUE"""),1.83063296E8)</f>
        <v>183063296</v>
      </c>
      <c r="I275" s="31">
        <f t="shared" si="4"/>
        <v>31.91333333</v>
      </c>
    </row>
    <row r="276">
      <c r="C276" s="27">
        <f>IFERROR(__xludf.DUMMYFUNCTION("""COMPUTED_VALUE"""),45943.66666666667)</f>
        <v>45943.66667</v>
      </c>
      <c r="D276" s="25">
        <f>IFERROR(__xludf.DUMMYFUNCTION("""COMPUTED_VALUE"""),36.44)</f>
        <v>36.44</v>
      </c>
      <c r="E276" s="25">
        <f>IFERROR(__xludf.DUMMYFUNCTION("""COMPUTED_VALUE"""),37.51)</f>
        <v>37.51</v>
      </c>
      <c r="F276" s="25">
        <f>IFERROR(__xludf.DUMMYFUNCTION("""COMPUTED_VALUE"""),36.28)</f>
        <v>36.28</v>
      </c>
      <c r="G276" s="25">
        <f>IFERROR(__xludf.DUMMYFUNCTION("""COMPUTED_VALUE"""),37.22)</f>
        <v>37.22</v>
      </c>
      <c r="H276" s="25">
        <f>IFERROR(__xludf.DUMMYFUNCTION("""COMPUTED_VALUE"""),1.04020679E8)</f>
        <v>104020679</v>
      </c>
      <c r="I276" s="31">
        <f t="shared" si="4"/>
        <v>32.51380952</v>
      </c>
    </row>
    <row r="277">
      <c r="C277" s="27">
        <f>IFERROR(__xludf.DUMMYFUNCTION("""COMPUTED_VALUE"""),45944.66666666667)</f>
        <v>45944.66667</v>
      </c>
      <c r="D277" s="25">
        <f>IFERROR(__xludf.DUMMYFUNCTION("""COMPUTED_VALUE"""),36.0)</f>
        <v>36</v>
      </c>
      <c r="E277" s="25">
        <f>IFERROR(__xludf.DUMMYFUNCTION("""COMPUTED_VALUE"""),36.55)</f>
        <v>36.55</v>
      </c>
      <c r="F277" s="25">
        <f>IFERROR(__xludf.DUMMYFUNCTION("""COMPUTED_VALUE"""),34.69)</f>
        <v>34.69</v>
      </c>
      <c r="G277" s="25">
        <f>IFERROR(__xludf.DUMMYFUNCTION("""COMPUTED_VALUE"""),35.63)</f>
        <v>35.63</v>
      </c>
      <c r="H277" s="25">
        <f>IFERROR(__xludf.DUMMYFUNCTION("""COMPUTED_VALUE"""),1.17908345E8)</f>
        <v>117908345</v>
      </c>
      <c r="I277" s="31">
        <f t="shared" si="4"/>
        <v>33.06380952</v>
      </c>
    </row>
    <row r="278">
      <c r="C278" s="27">
        <f>IFERROR(__xludf.DUMMYFUNCTION("""COMPUTED_VALUE"""),45945.66666666667)</f>
        <v>45945.66667</v>
      </c>
      <c r="D278" s="25">
        <f>IFERROR(__xludf.DUMMYFUNCTION("""COMPUTED_VALUE"""),36.4)</f>
        <v>36.4</v>
      </c>
      <c r="E278" s="25">
        <f>IFERROR(__xludf.DUMMYFUNCTION("""COMPUTED_VALUE"""),37.49)</f>
        <v>37.49</v>
      </c>
      <c r="F278" s="25">
        <f>IFERROR(__xludf.DUMMYFUNCTION("""COMPUTED_VALUE"""),35.64)</f>
        <v>35.64</v>
      </c>
      <c r="G278" s="25">
        <f>IFERROR(__xludf.DUMMYFUNCTION("""COMPUTED_VALUE"""),37.15)</f>
        <v>37.15</v>
      </c>
      <c r="H278" s="25">
        <f>IFERROR(__xludf.DUMMYFUNCTION("""COMPUTED_VALUE"""),9.9242706E7)</f>
        <v>99242706</v>
      </c>
      <c r="I278" s="31">
        <f t="shared" si="4"/>
        <v>33.65333333</v>
      </c>
    </row>
    <row r="279">
      <c r="C279" s="27">
        <f>IFERROR(__xludf.DUMMYFUNCTION("""COMPUTED_VALUE"""),45946.66666666667)</f>
        <v>45946.66667</v>
      </c>
      <c r="D279" s="25">
        <f>IFERROR(__xludf.DUMMYFUNCTION("""COMPUTED_VALUE"""),37.15)</f>
        <v>37.15</v>
      </c>
      <c r="E279" s="25">
        <f>IFERROR(__xludf.DUMMYFUNCTION("""COMPUTED_VALUE"""),38.02)</f>
        <v>38.02</v>
      </c>
      <c r="F279" s="25">
        <f>IFERROR(__xludf.DUMMYFUNCTION("""COMPUTED_VALUE"""),36.41)</f>
        <v>36.41</v>
      </c>
      <c r="G279" s="25">
        <f>IFERROR(__xludf.DUMMYFUNCTION("""COMPUTED_VALUE"""),36.84)</f>
        <v>36.84</v>
      </c>
      <c r="H279" s="25">
        <f>IFERROR(__xludf.DUMMYFUNCTION("""COMPUTED_VALUE"""),8.3357846E7)</f>
        <v>83357846</v>
      </c>
      <c r="I279" s="31">
        <f t="shared" si="4"/>
        <v>34.20428571</v>
      </c>
    </row>
    <row r="280">
      <c r="C280" s="27">
        <f>IFERROR(__xludf.DUMMYFUNCTION("""COMPUTED_VALUE"""),45947.66666666667)</f>
        <v>45947.66667</v>
      </c>
      <c r="D280" s="25">
        <f>IFERROR(__xludf.DUMMYFUNCTION("""COMPUTED_VALUE"""),36.36)</f>
        <v>36.36</v>
      </c>
      <c r="E280" s="25">
        <f>IFERROR(__xludf.DUMMYFUNCTION("""COMPUTED_VALUE"""),38.38)</f>
        <v>38.38</v>
      </c>
      <c r="F280" s="25">
        <f>IFERROR(__xludf.DUMMYFUNCTION("""COMPUTED_VALUE"""),36.08)</f>
        <v>36.08</v>
      </c>
      <c r="G280" s="25">
        <f>IFERROR(__xludf.DUMMYFUNCTION("""COMPUTED_VALUE"""),37.01)</f>
        <v>37.01</v>
      </c>
      <c r="H280" s="25">
        <f>IFERROR(__xludf.DUMMYFUNCTION("""COMPUTED_VALUE"""),1.19394707E8)</f>
        <v>119394707</v>
      </c>
      <c r="I280" s="31">
        <f t="shared" si="4"/>
        <v>34.78095238</v>
      </c>
    </row>
    <row r="281">
      <c r="C281" s="27">
        <f>IFERROR(__xludf.DUMMYFUNCTION("""COMPUTED_VALUE"""),45950.66666666667)</f>
        <v>45950.66667</v>
      </c>
      <c r="D281" s="25">
        <f>IFERROR(__xludf.DUMMYFUNCTION("""COMPUTED_VALUE"""),37.57)</f>
        <v>37.57</v>
      </c>
      <c r="E281" s="25">
        <f>IFERROR(__xludf.DUMMYFUNCTION("""COMPUTED_VALUE"""),38.52)</f>
        <v>38.52</v>
      </c>
      <c r="F281" s="25">
        <f>IFERROR(__xludf.DUMMYFUNCTION("""COMPUTED_VALUE"""),37.56)</f>
        <v>37.56</v>
      </c>
      <c r="G281" s="25">
        <f>IFERROR(__xludf.DUMMYFUNCTION("""COMPUTED_VALUE"""),38.1)</f>
        <v>38.1</v>
      </c>
      <c r="H281" s="25">
        <f>IFERROR(__xludf.DUMMYFUNCTION("""COMPUTED_VALUE"""),8.0230234E7)</f>
        <v>80230234</v>
      </c>
      <c r="I281" s="31">
        <f t="shared" si="4"/>
        <v>35.13952381</v>
      </c>
    </row>
    <row r="282">
      <c r="C282" s="27">
        <f>IFERROR(__xludf.DUMMYFUNCTION("""COMPUTED_VALUE"""),45951.66666666667)</f>
        <v>45951.66667</v>
      </c>
      <c r="D282" s="25">
        <f>IFERROR(__xludf.DUMMYFUNCTION("""COMPUTED_VALUE"""),38.14)</f>
        <v>38.14</v>
      </c>
      <c r="E282" s="25">
        <f>IFERROR(__xludf.DUMMYFUNCTION("""COMPUTED_VALUE"""),38.35)</f>
        <v>38.35</v>
      </c>
      <c r="F282" s="25">
        <f>IFERROR(__xludf.DUMMYFUNCTION("""COMPUTED_VALUE"""),37.67)</f>
        <v>37.67</v>
      </c>
      <c r="G282" s="25">
        <f>IFERROR(__xludf.DUMMYFUNCTION("""COMPUTED_VALUE"""),38.12)</f>
        <v>38.12</v>
      </c>
      <c r="H282" s="25">
        <f>IFERROR(__xludf.DUMMYFUNCTION("""COMPUTED_VALUE"""),7.3134908E7)</f>
        <v>73134908</v>
      </c>
      <c r="I282" s="31">
        <f t="shared" si="4"/>
        <v>35.54619048</v>
      </c>
    </row>
    <row r="283">
      <c r="C283" s="27">
        <f>IFERROR(__xludf.DUMMYFUNCTION("""COMPUTED_VALUE"""),45952.66666666667)</f>
        <v>45952.66667</v>
      </c>
      <c r="D283" s="25">
        <f>IFERROR(__xludf.DUMMYFUNCTION("""COMPUTED_VALUE"""),37.84)</f>
        <v>37.84</v>
      </c>
      <c r="E283" s="25">
        <f>IFERROR(__xludf.DUMMYFUNCTION("""COMPUTED_VALUE"""),37.93)</f>
        <v>37.93</v>
      </c>
      <c r="F283" s="25">
        <f>IFERROR(__xludf.DUMMYFUNCTION("""COMPUTED_VALUE"""),36.04)</f>
        <v>36.04</v>
      </c>
      <c r="G283" s="25">
        <f>IFERROR(__xludf.DUMMYFUNCTION("""COMPUTED_VALUE"""),36.92)</f>
        <v>36.92</v>
      </c>
      <c r="H283" s="25">
        <f>IFERROR(__xludf.DUMMYFUNCTION("""COMPUTED_VALUE"""),8.7099905E7)</f>
        <v>87099905</v>
      </c>
      <c r="I283" s="31">
        <f t="shared" si="4"/>
        <v>35.9347619</v>
      </c>
    </row>
    <row r="284">
      <c r="C284" s="27">
        <f>IFERROR(__xludf.DUMMYFUNCTION("""COMPUTED_VALUE"""),45953.66666666667)</f>
        <v>45953.66667</v>
      </c>
      <c r="D284" s="25">
        <f>IFERROR(__xludf.DUMMYFUNCTION("""COMPUTED_VALUE"""),36.6)</f>
        <v>36.6</v>
      </c>
      <c r="E284" s="25">
        <f>IFERROR(__xludf.DUMMYFUNCTION("""COMPUTED_VALUE"""),38.4)</f>
        <v>38.4</v>
      </c>
      <c r="F284" s="25">
        <f>IFERROR(__xludf.DUMMYFUNCTION("""COMPUTED_VALUE"""),36.43)</f>
        <v>36.43</v>
      </c>
      <c r="G284" s="25">
        <f>IFERROR(__xludf.DUMMYFUNCTION("""COMPUTED_VALUE"""),38.16)</f>
        <v>38.16</v>
      </c>
      <c r="H284" s="25">
        <f>IFERROR(__xludf.DUMMYFUNCTION("""COMPUTED_VALUE"""),1.21974238E8)</f>
        <v>121974238</v>
      </c>
      <c r="I284" s="31">
        <f t="shared" si="4"/>
        <v>36.3547619</v>
      </c>
    </row>
    <row r="285">
      <c r="C285" s="27">
        <f>IFERROR(__xludf.DUMMYFUNCTION("""COMPUTED_VALUE"""),45954.66666666667)</f>
        <v>45954.66667</v>
      </c>
      <c r="D285" s="25">
        <f>IFERROR(__xludf.DUMMYFUNCTION("""COMPUTED_VALUE"""),40.02)</f>
        <v>40.02</v>
      </c>
      <c r="E285" s="25">
        <f>IFERROR(__xludf.DUMMYFUNCTION("""COMPUTED_VALUE"""),41.12)</f>
        <v>41.12</v>
      </c>
      <c r="F285" s="25">
        <f>IFERROR(__xludf.DUMMYFUNCTION("""COMPUTED_VALUE"""),37.83)</f>
        <v>37.83</v>
      </c>
      <c r="G285" s="25">
        <f>IFERROR(__xludf.DUMMYFUNCTION("""COMPUTED_VALUE"""),38.28)</f>
        <v>38.28</v>
      </c>
      <c r="H285" s="25">
        <f>IFERROR(__xludf.DUMMYFUNCTION("""COMPUTED_VALUE"""),2.46379974E8)</f>
        <v>246379974</v>
      </c>
      <c r="I285" s="31">
        <f t="shared" si="4"/>
        <v>36.78047619</v>
      </c>
    </row>
    <row r="286">
      <c r="C286" s="27">
        <f>IFERROR(__xludf.DUMMYFUNCTION("""COMPUTED_VALUE"""),45957.66666666667)</f>
        <v>45957.66667</v>
      </c>
      <c r="D286" s="25">
        <f>IFERROR(__xludf.DUMMYFUNCTION("""COMPUTED_VALUE"""),38.39)</f>
        <v>38.39</v>
      </c>
      <c r="E286" s="25">
        <f>IFERROR(__xludf.DUMMYFUNCTION("""COMPUTED_VALUE"""),40.67)</f>
        <v>40.67</v>
      </c>
      <c r="F286" s="25">
        <f>IFERROR(__xludf.DUMMYFUNCTION("""COMPUTED_VALUE"""),38.23)</f>
        <v>38.23</v>
      </c>
      <c r="G286" s="25">
        <f>IFERROR(__xludf.DUMMYFUNCTION("""COMPUTED_VALUE"""),39.54)</f>
        <v>39.54</v>
      </c>
      <c r="H286" s="25">
        <f>IFERROR(__xludf.DUMMYFUNCTION("""COMPUTED_VALUE"""),1.60007604E8)</f>
        <v>160007604</v>
      </c>
      <c r="I286" s="31">
        <f t="shared" si="4"/>
        <v>36.97285714</v>
      </c>
    </row>
    <row r="287">
      <c r="C287" s="27">
        <f>IFERROR(__xludf.DUMMYFUNCTION("""COMPUTED_VALUE"""),45958.66666666667)</f>
        <v>45958.66667</v>
      </c>
      <c r="D287" s="25">
        <f>IFERROR(__xludf.DUMMYFUNCTION("""COMPUTED_VALUE"""),39.59)</f>
        <v>39.59</v>
      </c>
      <c r="E287" s="25">
        <f>IFERROR(__xludf.DUMMYFUNCTION("""COMPUTED_VALUE"""),42.48)</f>
        <v>42.48</v>
      </c>
      <c r="F287" s="25">
        <f>IFERROR(__xludf.DUMMYFUNCTION("""COMPUTED_VALUE"""),39.54)</f>
        <v>39.54</v>
      </c>
      <c r="G287" s="25">
        <f>IFERROR(__xludf.DUMMYFUNCTION("""COMPUTED_VALUE"""),41.53)</f>
        <v>41.53</v>
      </c>
      <c r="H287" s="25">
        <f>IFERROR(__xludf.DUMMYFUNCTION("""COMPUTED_VALUE"""),1.8125637E8)</f>
        <v>181256370</v>
      </c>
      <c r="I287" s="31">
        <f t="shared" si="4"/>
        <v>37.30857143</v>
      </c>
    </row>
    <row r="288">
      <c r="C288" s="27">
        <f>IFERROR(__xludf.DUMMYFUNCTION("""COMPUTED_VALUE"""),45959.66666666667)</f>
        <v>45959.66667</v>
      </c>
      <c r="D288" s="25">
        <f>IFERROR(__xludf.DUMMYFUNCTION("""COMPUTED_VALUE"""),41.6)</f>
        <v>41.6</v>
      </c>
      <c r="E288" s="25">
        <f>IFERROR(__xludf.DUMMYFUNCTION("""COMPUTED_VALUE"""),42.04)</f>
        <v>42.04</v>
      </c>
      <c r="F288" s="25">
        <f>IFERROR(__xludf.DUMMYFUNCTION("""COMPUTED_VALUE"""),40.92)</f>
        <v>40.92</v>
      </c>
      <c r="G288" s="25">
        <f>IFERROR(__xludf.DUMMYFUNCTION("""COMPUTED_VALUE"""),41.34)</f>
        <v>41.34</v>
      </c>
      <c r="H288" s="25">
        <f>IFERROR(__xludf.DUMMYFUNCTION("""COMPUTED_VALUE"""),1.06962947E8)</f>
        <v>106962947</v>
      </c>
      <c r="I288" s="31">
        <f t="shared" si="4"/>
        <v>37.67952381</v>
      </c>
    </row>
    <row r="289">
      <c r="C289" s="27">
        <f>IFERROR(__xludf.DUMMYFUNCTION("""COMPUTED_VALUE"""),45960.66666666667)</f>
        <v>45960.66667</v>
      </c>
      <c r="D289" s="25">
        <f>IFERROR(__xludf.DUMMYFUNCTION("""COMPUTED_VALUE"""),40.97)</f>
        <v>40.97</v>
      </c>
      <c r="E289" s="25">
        <f>IFERROR(__xludf.DUMMYFUNCTION("""COMPUTED_VALUE"""),41.43)</f>
        <v>41.43</v>
      </c>
      <c r="F289" s="25">
        <f>IFERROR(__xludf.DUMMYFUNCTION("""COMPUTED_VALUE"""),40.11)</f>
        <v>40.11</v>
      </c>
      <c r="G289" s="25">
        <f>IFERROR(__xludf.DUMMYFUNCTION("""COMPUTED_VALUE"""),40.16)</f>
        <v>40.16</v>
      </c>
      <c r="H289" s="25">
        <f>IFERROR(__xludf.DUMMYFUNCTION("""COMPUTED_VALUE"""),8.4855468E7)</f>
        <v>84855468</v>
      </c>
      <c r="I289" s="31">
        <f t="shared" si="4"/>
        <v>37.88047619</v>
      </c>
    </row>
    <row r="290">
      <c r="C290" s="27">
        <f>IFERROR(__xludf.DUMMYFUNCTION("""COMPUTED_VALUE"""),45961.66666666667)</f>
        <v>45961.66667</v>
      </c>
      <c r="D290" s="25">
        <f>IFERROR(__xludf.DUMMYFUNCTION("""COMPUTED_VALUE"""),40.68)</f>
        <v>40.68</v>
      </c>
      <c r="E290" s="25">
        <f>IFERROR(__xludf.DUMMYFUNCTION("""COMPUTED_VALUE"""),40.83)</f>
        <v>40.83</v>
      </c>
      <c r="F290" s="25">
        <f>IFERROR(__xludf.DUMMYFUNCTION("""COMPUTED_VALUE"""),39.79)</f>
        <v>39.79</v>
      </c>
      <c r="G290" s="25">
        <f>IFERROR(__xludf.DUMMYFUNCTION("""COMPUTED_VALUE"""),39.99)</f>
        <v>39.99</v>
      </c>
      <c r="H290" s="25">
        <f>IFERROR(__xludf.DUMMYFUNCTION("""COMPUTED_VALUE"""),8.0471369E7)</f>
        <v>80471369</v>
      </c>
      <c r="I290" s="31">
        <f t="shared" si="4"/>
        <v>38.00857143</v>
      </c>
    </row>
    <row r="291">
      <c r="C291" s="27">
        <f>IFERROR(__xludf.DUMMYFUNCTION("""COMPUTED_VALUE"""),45964.66666666667)</f>
        <v>45964.66667</v>
      </c>
      <c r="D291" s="25">
        <f>IFERROR(__xludf.DUMMYFUNCTION("""COMPUTED_VALUE"""),40.25)</f>
        <v>40.25</v>
      </c>
      <c r="E291" s="25">
        <f>IFERROR(__xludf.DUMMYFUNCTION("""COMPUTED_VALUE"""),40.45)</f>
        <v>40.45</v>
      </c>
      <c r="F291" s="25">
        <f>IFERROR(__xludf.DUMMYFUNCTION("""COMPUTED_VALUE"""),39.05)</f>
        <v>39.05</v>
      </c>
      <c r="G291" s="25">
        <f>IFERROR(__xludf.DUMMYFUNCTION("""COMPUTED_VALUE"""),39.5)</f>
        <v>39.5</v>
      </c>
      <c r="H291" s="25">
        <f>IFERROR(__xludf.DUMMYFUNCTION("""COMPUTED_VALUE"""),6.1267512E7)</f>
        <v>61267512</v>
      </c>
      <c r="I291" s="31">
        <f t="shared" si="4"/>
        <v>38.13571429</v>
      </c>
    </row>
    <row r="292">
      <c r="C292" s="27">
        <f>IFERROR(__xludf.DUMMYFUNCTION("""COMPUTED_VALUE"""),45965.66666666667)</f>
        <v>45965.66667</v>
      </c>
      <c r="D292" s="25">
        <f>IFERROR(__xludf.DUMMYFUNCTION("""COMPUTED_VALUE"""),38.14)</f>
        <v>38.14</v>
      </c>
      <c r="E292" s="25">
        <f>IFERROR(__xludf.DUMMYFUNCTION("""COMPUTED_VALUE"""),38.25)</f>
        <v>38.25</v>
      </c>
      <c r="F292" s="25">
        <f>IFERROR(__xludf.DUMMYFUNCTION("""COMPUTED_VALUE"""),36.63)</f>
        <v>36.63</v>
      </c>
      <c r="G292" s="25">
        <f>IFERROR(__xludf.DUMMYFUNCTION("""COMPUTED_VALUE"""),37.03)</f>
        <v>37.03</v>
      </c>
      <c r="H292" s="25">
        <f>IFERROR(__xludf.DUMMYFUNCTION("""COMPUTED_VALUE"""),1.02250306E8)</f>
        <v>102250306</v>
      </c>
      <c r="I292" s="31">
        <f t="shared" si="4"/>
        <v>38.15666667</v>
      </c>
    </row>
    <row r="293">
      <c r="C293" s="27">
        <f>IFERROR(__xludf.DUMMYFUNCTION("""COMPUTED_VALUE"""),45966.66666666667)</f>
        <v>45966.66667</v>
      </c>
      <c r="D293" s="25">
        <f>IFERROR(__xludf.DUMMYFUNCTION("""COMPUTED_VALUE"""),37.42)</f>
        <v>37.42</v>
      </c>
      <c r="E293" s="25">
        <f>IFERROR(__xludf.DUMMYFUNCTION("""COMPUTED_VALUE"""),38.69)</f>
        <v>38.69</v>
      </c>
      <c r="F293" s="25">
        <f>IFERROR(__xludf.DUMMYFUNCTION("""COMPUTED_VALUE"""),37.11)</f>
        <v>37.11</v>
      </c>
      <c r="G293" s="25">
        <f>IFERROR(__xludf.DUMMYFUNCTION("""COMPUTED_VALUE"""),38.38)</f>
        <v>38.38</v>
      </c>
      <c r="H293" s="25">
        <f>IFERROR(__xludf.DUMMYFUNCTION("""COMPUTED_VALUE"""),7.4631599E7)</f>
        <v>74631599</v>
      </c>
      <c r="I293" s="31">
        <f t="shared" si="4"/>
        <v>38.21428571</v>
      </c>
    </row>
    <row r="294">
      <c r="C294" s="27">
        <f>IFERROR(__xludf.DUMMYFUNCTION("""COMPUTED_VALUE"""),45967.66666666667)</f>
        <v>45967.66667</v>
      </c>
      <c r="D294" s="25">
        <f>IFERROR(__xludf.DUMMYFUNCTION("""COMPUTED_VALUE"""),38.34)</f>
        <v>38.34</v>
      </c>
      <c r="E294" s="25">
        <f>IFERROR(__xludf.DUMMYFUNCTION("""COMPUTED_VALUE"""),39.84)</f>
        <v>39.84</v>
      </c>
      <c r="F294" s="25">
        <f>IFERROR(__xludf.DUMMYFUNCTION("""COMPUTED_VALUE"""),36.8)</f>
        <v>36.8</v>
      </c>
      <c r="G294" s="25">
        <f>IFERROR(__xludf.DUMMYFUNCTION("""COMPUTED_VALUE"""),37.24)</f>
        <v>37.24</v>
      </c>
      <c r="H294" s="25">
        <f>IFERROR(__xludf.DUMMYFUNCTION("""COMPUTED_VALUE"""),7.7629908E7)</f>
        <v>77629908</v>
      </c>
      <c r="I294" s="31">
        <f t="shared" si="4"/>
        <v>38.2052381</v>
      </c>
    </row>
    <row r="295">
      <c r="C295" s="27">
        <f>IFERROR(__xludf.DUMMYFUNCTION("""COMPUTED_VALUE"""),45968.66666666667)</f>
        <v>45968.66667</v>
      </c>
      <c r="D295" s="25">
        <f>IFERROR(__xludf.DUMMYFUNCTION("""COMPUTED_VALUE"""),37.26)</f>
        <v>37.26</v>
      </c>
      <c r="E295" s="25">
        <f>IFERROR(__xludf.DUMMYFUNCTION("""COMPUTED_VALUE"""),38.27)</f>
        <v>38.27</v>
      </c>
      <c r="F295" s="25">
        <f>IFERROR(__xludf.DUMMYFUNCTION("""COMPUTED_VALUE"""),36.97)</f>
        <v>36.97</v>
      </c>
      <c r="G295" s="25">
        <f>IFERROR(__xludf.DUMMYFUNCTION("""COMPUTED_VALUE"""),38.13)</f>
        <v>38.13</v>
      </c>
      <c r="H295" s="25">
        <f>IFERROR(__xludf.DUMMYFUNCTION("""COMPUTED_VALUE"""),9.5521436E7)</f>
        <v>95521436</v>
      </c>
      <c r="I295" s="31">
        <f t="shared" si="4"/>
        <v>38.22095238</v>
      </c>
    </row>
    <row r="296">
      <c r="C296" s="27">
        <f>IFERROR(__xludf.DUMMYFUNCTION("""COMPUTED_VALUE"""),45971.66666666667)</f>
        <v>45971.66667</v>
      </c>
      <c r="D296" s="25">
        <f>IFERROR(__xludf.DUMMYFUNCTION("""COMPUTED_VALUE"""),38.93)</f>
        <v>38.93</v>
      </c>
      <c r="E296" s="25">
        <f>IFERROR(__xludf.DUMMYFUNCTION("""COMPUTED_VALUE"""),39.53)</f>
        <v>39.53</v>
      </c>
      <c r="F296" s="25">
        <f>IFERROR(__xludf.DUMMYFUNCTION("""COMPUTED_VALUE"""),37.97)</f>
        <v>37.97</v>
      </c>
      <c r="G296" s="25">
        <f>IFERROR(__xludf.DUMMYFUNCTION("""COMPUTED_VALUE"""),38.45)</f>
        <v>38.45</v>
      </c>
      <c r="H296" s="25">
        <f>IFERROR(__xludf.DUMMYFUNCTION("""COMPUTED_VALUE"""),7.7820266E7)</f>
        <v>77820266</v>
      </c>
      <c r="I296" s="31">
        <f t="shared" si="4"/>
        <v>38.32</v>
      </c>
    </row>
    <row r="297">
      <c r="C297" s="27">
        <f>IFERROR(__xludf.DUMMYFUNCTION("""COMPUTED_VALUE"""),45972.66666666667)</f>
        <v>45972.66667</v>
      </c>
      <c r="D297" s="25">
        <f>IFERROR(__xludf.DUMMYFUNCTION("""COMPUTED_VALUE"""),38.15)</f>
        <v>38.15</v>
      </c>
      <c r="E297" s="25">
        <f>IFERROR(__xludf.DUMMYFUNCTION("""COMPUTED_VALUE"""),38.22)</f>
        <v>38.22</v>
      </c>
      <c r="F297" s="25">
        <f>IFERROR(__xludf.DUMMYFUNCTION("""COMPUTED_VALUE"""),37.49)</f>
        <v>37.49</v>
      </c>
      <c r="G297" s="25">
        <f>IFERROR(__xludf.DUMMYFUNCTION("""COMPUTED_VALUE"""),37.88)</f>
        <v>37.88</v>
      </c>
      <c r="H297" s="25">
        <f>IFERROR(__xludf.DUMMYFUNCTION("""COMPUTED_VALUE"""),5.3741898E7)</f>
        <v>53741898</v>
      </c>
      <c r="I297" s="31">
        <f t="shared" si="4"/>
        <v>38.35142857</v>
      </c>
    </row>
    <row r="298">
      <c r="C298" s="27">
        <f>IFERROR(__xludf.DUMMYFUNCTION("""COMPUTED_VALUE"""),45973.66666666667)</f>
        <v>45973.66667</v>
      </c>
      <c r="D298" s="25">
        <f>IFERROR(__xludf.DUMMYFUNCTION("""COMPUTED_VALUE"""),38.06)</f>
        <v>38.06</v>
      </c>
      <c r="E298" s="25">
        <f>IFERROR(__xludf.DUMMYFUNCTION("""COMPUTED_VALUE"""),38.2)</f>
        <v>38.2</v>
      </c>
      <c r="F298" s="25">
        <f>IFERROR(__xludf.DUMMYFUNCTION("""COMPUTED_VALUE"""),37.35)</f>
        <v>37.35</v>
      </c>
      <c r="G298" s="25">
        <f>IFERROR(__xludf.DUMMYFUNCTION("""COMPUTED_VALUE"""),37.89)</f>
        <v>37.89</v>
      </c>
      <c r="H298" s="25">
        <f>IFERROR(__xludf.DUMMYFUNCTION("""COMPUTED_VALUE"""),5.3875959E7)</f>
        <v>53875959</v>
      </c>
      <c r="I298" s="31">
        <f t="shared" si="4"/>
        <v>38.45904762</v>
      </c>
    </row>
    <row r="299">
      <c r="C299" s="27">
        <f>IFERROR(__xludf.DUMMYFUNCTION("""COMPUTED_VALUE"""),45974.66666666667)</f>
        <v>45974.66667</v>
      </c>
      <c r="D299" s="25">
        <f>IFERROR(__xludf.DUMMYFUNCTION("""COMPUTED_VALUE"""),37.27)</f>
        <v>37.27</v>
      </c>
      <c r="E299" s="25">
        <f>IFERROR(__xludf.DUMMYFUNCTION("""COMPUTED_VALUE"""),37.31)</f>
        <v>37.31</v>
      </c>
      <c r="F299" s="25">
        <f>IFERROR(__xludf.DUMMYFUNCTION("""COMPUTED_VALUE"""),35.45)</f>
        <v>35.45</v>
      </c>
      <c r="G299" s="25">
        <f>IFERROR(__xludf.DUMMYFUNCTION("""COMPUTED_VALUE"""),35.91)</f>
        <v>35.91</v>
      </c>
      <c r="H299" s="25">
        <f>IFERROR(__xludf.DUMMYFUNCTION("""COMPUTED_VALUE"""),9.559317E7)</f>
        <v>95593170</v>
      </c>
      <c r="I299" s="31">
        <f t="shared" si="4"/>
        <v>38.4</v>
      </c>
    </row>
    <row r="300">
      <c r="C300" s="27">
        <f>IFERROR(__xludf.DUMMYFUNCTION("""COMPUTED_VALUE"""),45975.66666666667)</f>
        <v>45975.66667</v>
      </c>
      <c r="D300" s="25">
        <f>IFERROR(__xludf.DUMMYFUNCTION("""COMPUTED_VALUE"""),35.03)</f>
        <v>35.03</v>
      </c>
      <c r="E300" s="25">
        <f>IFERROR(__xludf.DUMMYFUNCTION("""COMPUTED_VALUE"""),36.1)</f>
        <v>36.1</v>
      </c>
      <c r="F300" s="25">
        <f>IFERROR(__xludf.DUMMYFUNCTION("""COMPUTED_VALUE"""),34.62)</f>
        <v>34.62</v>
      </c>
      <c r="G300" s="25">
        <f>IFERROR(__xludf.DUMMYFUNCTION("""COMPUTED_VALUE"""),35.52)</f>
        <v>35.52</v>
      </c>
      <c r="H300" s="25">
        <f>IFERROR(__xludf.DUMMYFUNCTION("""COMPUTED_VALUE"""),7.171618E7)</f>
        <v>71716180</v>
      </c>
      <c r="I300" s="31">
        <f t="shared" si="4"/>
        <v>38.33714286</v>
      </c>
    </row>
    <row r="301">
      <c r="C301" s="27">
        <f>IFERROR(__xludf.DUMMYFUNCTION("""COMPUTED_VALUE"""),45978.66666666667)</f>
        <v>45978.66667</v>
      </c>
      <c r="D301" s="25">
        <f>IFERROR(__xludf.DUMMYFUNCTION("""COMPUTED_VALUE"""),35.45)</f>
        <v>35.45</v>
      </c>
      <c r="E301" s="25">
        <f>IFERROR(__xludf.DUMMYFUNCTION("""COMPUTED_VALUE"""),35.73)</f>
        <v>35.73</v>
      </c>
      <c r="F301" s="25">
        <f>IFERROR(__xludf.DUMMYFUNCTION("""COMPUTED_VALUE"""),34.23)</f>
        <v>34.23</v>
      </c>
      <c r="G301" s="25">
        <f>IFERROR(__xludf.DUMMYFUNCTION("""COMPUTED_VALUE"""),34.71)</f>
        <v>34.71</v>
      </c>
      <c r="H301" s="25">
        <f>IFERROR(__xludf.DUMMYFUNCTION("""COMPUTED_VALUE"""),7.2580118E7)</f>
        <v>72580118</v>
      </c>
      <c r="I301" s="31">
        <f t="shared" si="4"/>
        <v>38.22761905</v>
      </c>
    </row>
    <row r="302">
      <c r="C302" s="27">
        <f>IFERROR(__xludf.DUMMYFUNCTION("""COMPUTED_VALUE"""),45979.66666666667)</f>
        <v>45979.66667</v>
      </c>
      <c r="D302" s="25">
        <f>IFERROR(__xludf.DUMMYFUNCTION("""COMPUTED_VALUE"""),34.25)</f>
        <v>34.25</v>
      </c>
      <c r="E302" s="25">
        <f>IFERROR(__xludf.DUMMYFUNCTION("""COMPUTED_VALUE"""),34.76)</f>
        <v>34.76</v>
      </c>
      <c r="F302" s="25">
        <f>IFERROR(__xludf.DUMMYFUNCTION("""COMPUTED_VALUE"""),33.57)</f>
        <v>33.57</v>
      </c>
      <c r="G302" s="25">
        <f>IFERROR(__xludf.DUMMYFUNCTION("""COMPUTED_VALUE"""),34.33)</f>
        <v>34.33</v>
      </c>
      <c r="H302" s="25">
        <f>IFERROR(__xludf.DUMMYFUNCTION("""COMPUTED_VALUE"""),6.1504802E7)</f>
        <v>61504802</v>
      </c>
      <c r="I302" s="31">
        <f t="shared" si="4"/>
        <v>38.04809524</v>
      </c>
    </row>
    <row r="303">
      <c r="C303" s="27">
        <f>IFERROR(__xludf.DUMMYFUNCTION("""COMPUTED_VALUE"""),45980.66666666667)</f>
        <v>45980.66667</v>
      </c>
      <c r="D303" s="25">
        <f>IFERROR(__xludf.DUMMYFUNCTION("""COMPUTED_VALUE"""),34.33)</f>
        <v>34.33</v>
      </c>
      <c r="E303" s="25">
        <f>IFERROR(__xludf.DUMMYFUNCTION("""COMPUTED_VALUE"""),35.75)</f>
        <v>35.75</v>
      </c>
      <c r="F303" s="25">
        <f>IFERROR(__xludf.DUMMYFUNCTION("""COMPUTED_VALUE"""),34.25)</f>
        <v>34.25</v>
      </c>
      <c r="G303" s="25">
        <f>IFERROR(__xludf.DUMMYFUNCTION("""COMPUTED_VALUE"""),35.11)</f>
        <v>35.11</v>
      </c>
      <c r="H303" s="25">
        <f>IFERROR(__xludf.DUMMYFUNCTION("""COMPUTED_VALUE"""),6.7115474E7)</f>
        <v>67115474</v>
      </c>
      <c r="I303" s="31">
        <f t="shared" si="4"/>
        <v>37.9047619</v>
      </c>
    </row>
    <row r="304">
      <c r="C304" s="27">
        <f>IFERROR(__xludf.DUMMYFUNCTION("""COMPUTED_VALUE"""),45981.66666666667)</f>
        <v>45981.66667</v>
      </c>
      <c r="D304" s="25">
        <f>IFERROR(__xludf.DUMMYFUNCTION("""COMPUTED_VALUE"""),36.0)</f>
        <v>36</v>
      </c>
      <c r="E304" s="25">
        <f>IFERROR(__xludf.DUMMYFUNCTION("""COMPUTED_VALUE"""),36.68)</f>
        <v>36.68</v>
      </c>
      <c r="F304" s="25">
        <f>IFERROR(__xludf.DUMMYFUNCTION("""COMPUTED_VALUE"""),33.48)</f>
        <v>33.48</v>
      </c>
      <c r="G304" s="25">
        <f>IFERROR(__xludf.DUMMYFUNCTION("""COMPUTED_VALUE"""),33.62)</f>
        <v>33.62</v>
      </c>
      <c r="H304" s="25">
        <f>IFERROR(__xludf.DUMMYFUNCTION("""COMPUTED_VALUE"""),9.6389096E7)</f>
        <v>96389096</v>
      </c>
      <c r="I304" s="31">
        <f t="shared" si="4"/>
        <v>37.74761905</v>
      </c>
    </row>
    <row r="305">
      <c r="C305" s="27">
        <f>IFERROR(__xludf.DUMMYFUNCTION("""COMPUTED_VALUE"""),45982.66666666667)</f>
        <v>45982.66667</v>
      </c>
      <c r="D305" s="25">
        <f>IFERROR(__xludf.DUMMYFUNCTION("""COMPUTED_VALUE"""),33.51)</f>
        <v>33.51</v>
      </c>
      <c r="E305" s="25">
        <f>IFERROR(__xludf.DUMMYFUNCTION("""COMPUTED_VALUE"""),34.98)</f>
        <v>34.98</v>
      </c>
      <c r="F305" s="25">
        <f>IFERROR(__xludf.DUMMYFUNCTION("""COMPUTED_VALUE"""),32.89)</f>
        <v>32.89</v>
      </c>
      <c r="G305" s="25">
        <f>IFERROR(__xludf.DUMMYFUNCTION("""COMPUTED_VALUE"""),34.5)</f>
        <v>34.5</v>
      </c>
      <c r="H305" s="25">
        <f>IFERROR(__xludf.DUMMYFUNCTION("""COMPUTED_VALUE"""),1.0564167E8)</f>
        <v>105641670</v>
      </c>
      <c r="I305" s="31">
        <f t="shared" si="4"/>
        <v>37.57333333</v>
      </c>
    </row>
    <row r="306">
      <c r="C306" s="27">
        <f>IFERROR(__xludf.DUMMYFUNCTION("""COMPUTED_VALUE"""),45985.66666666667)</f>
        <v>45985.66667</v>
      </c>
      <c r="D306" s="25">
        <f>IFERROR(__xludf.DUMMYFUNCTION("""COMPUTED_VALUE"""),34.97)</f>
        <v>34.97</v>
      </c>
      <c r="E306" s="25">
        <f>IFERROR(__xludf.DUMMYFUNCTION("""COMPUTED_VALUE"""),36.16)</f>
        <v>36.16</v>
      </c>
      <c r="F306" s="25">
        <f>IFERROR(__xludf.DUMMYFUNCTION("""COMPUTED_VALUE"""),34.69)</f>
        <v>34.69</v>
      </c>
      <c r="G306" s="25">
        <f>IFERROR(__xludf.DUMMYFUNCTION("""COMPUTED_VALUE"""),35.79)</f>
        <v>35.79</v>
      </c>
      <c r="H306" s="25">
        <f>IFERROR(__xludf.DUMMYFUNCTION("""COMPUTED_VALUE"""),1.03804208E8)</f>
        <v>103804208</v>
      </c>
      <c r="I306" s="31">
        <f t="shared" si="4"/>
        <v>37.4547619</v>
      </c>
    </row>
    <row r="307">
      <c r="C307" s="27">
        <f>IFERROR(__xludf.DUMMYFUNCTION("""COMPUTED_VALUE"""),45986.66666666667)</f>
        <v>45986.66667</v>
      </c>
      <c r="D307" s="25">
        <f>IFERROR(__xludf.DUMMYFUNCTION("""COMPUTED_VALUE"""),35.55)</f>
        <v>35.55</v>
      </c>
      <c r="E307" s="25">
        <f>IFERROR(__xludf.DUMMYFUNCTION("""COMPUTED_VALUE"""),36.13)</f>
        <v>36.13</v>
      </c>
      <c r="F307" s="25">
        <f>IFERROR(__xludf.DUMMYFUNCTION("""COMPUTED_VALUE"""),34.68)</f>
        <v>34.68</v>
      </c>
      <c r="G307" s="25">
        <f>IFERROR(__xludf.DUMMYFUNCTION("""COMPUTED_VALUE"""),35.83)</f>
        <v>35.83</v>
      </c>
      <c r="H307" s="25">
        <f>IFERROR(__xludf.DUMMYFUNCTION("""COMPUTED_VALUE"""),6.2203283E7)</f>
        <v>62203283</v>
      </c>
      <c r="I307" s="31">
        <f t="shared" si="4"/>
        <v>37.27809524</v>
      </c>
    </row>
    <row r="308">
      <c r="C308" s="27">
        <f>IFERROR(__xludf.DUMMYFUNCTION("""COMPUTED_VALUE"""),45987.66666666667)</f>
        <v>45987.66667</v>
      </c>
      <c r="D308" s="25">
        <f>IFERROR(__xludf.DUMMYFUNCTION("""COMPUTED_VALUE"""),36.2)</f>
        <v>36.2</v>
      </c>
      <c r="E308" s="25">
        <f>IFERROR(__xludf.DUMMYFUNCTION("""COMPUTED_VALUE"""),37.24)</f>
        <v>37.24</v>
      </c>
      <c r="F308" s="25">
        <f>IFERROR(__xludf.DUMMYFUNCTION("""COMPUTED_VALUE"""),36.13)</f>
        <v>36.13</v>
      </c>
      <c r="G308" s="25">
        <f>IFERROR(__xludf.DUMMYFUNCTION("""COMPUTED_VALUE"""),36.81)</f>
        <v>36.81</v>
      </c>
      <c r="H308" s="25">
        <f>IFERROR(__xludf.DUMMYFUNCTION("""COMPUTED_VALUE"""),5.4563435E7)</f>
        <v>54563435</v>
      </c>
      <c r="I308" s="31">
        <f t="shared" si="4"/>
        <v>37.05333333</v>
      </c>
    </row>
  </sheetData>
  <mergeCells count="3">
    <mergeCell ref="C58:I58"/>
    <mergeCell ref="K58:Q58"/>
    <mergeCell ref="S58:Y58"/>
  </mergeCells>
  <dataValidations>
    <dataValidation type="list" allowBlank="1" showErrorMessage="1" sqref="B5">
      <formula1>"AAPL,GOOG,MSFT,AMZN,TSLA,INTC,KO,PFE,JPM,NVDA"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25"/>
    <col customWidth="1" min="5" max="5" width="15.13"/>
    <col customWidth="1" min="10" max="10" width="23.25"/>
  </cols>
  <sheetData>
    <row r="3">
      <c r="B3" s="33" t="s">
        <v>42</v>
      </c>
      <c r="C3" s="13"/>
      <c r="G3" s="34" t="s">
        <v>43</v>
      </c>
      <c r="H3" s="13"/>
      <c r="J3" s="35" t="s">
        <v>44</v>
      </c>
    </row>
    <row r="4">
      <c r="B4" s="36" t="s">
        <v>0</v>
      </c>
      <c r="C4" s="36" t="s">
        <v>45</v>
      </c>
      <c r="D4" s="37" t="s">
        <v>46</v>
      </c>
      <c r="E4" s="37" t="s">
        <v>47</v>
      </c>
      <c r="G4" s="36" t="s">
        <v>0</v>
      </c>
      <c r="H4" s="36" t="s">
        <v>48</v>
      </c>
      <c r="J4" s="38">
        <f>C12*H10</f>
        <v>3.709672985</v>
      </c>
    </row>
    <row r="5">
      <c r="A5" s="39" t="s">
        <v>23</v>
      </c>
      <c r="B5" s="40" t="s">
        <v>22</v>
      </c>
      <c r="C5" s="41">
        <v>0.32</v>
      </c>
      <c r="D5" s="42">
        <f>IFERROR(__xludf.DUMMYFUNCTION("GOOGLEFINANCE(A5,""price"")"),180.26)</f>
        <v>180.26</v>
      </c>
      <c r="E5" s="42">
        <f>IFERROR(__xludf.DUMMYFUNCTION("INDEX(GOOGLEFINANCE(A5, ""PRICE"", TODAY()-367, TODAY()-367), 2, 2)
"),136.02)</f>
        <v>136.02</v>
      </c>
      <c r="F5" s="25"/>
      <c r="G5" s="40" t="s">
        <v>22</v>
      </c>
      <c r="H5" s="43">
        <f t="shared" ref="H5:H9" si="1">C5*(D5-E5)/E5</f>
        <v>0.1040788119</v>
      </c>
    </row>
    <row r="6">
      <c r="A6" s="44" t="s">
        <v>8</v>
      </c>
      <c r="B6" s="45" t="s">
        <v>49</v>
      </c>
      <c r="C6" s="46">
        <v>0.23</v>
      </c>
      <c r="D6" s="42">
        <f>IFERROR(__xludf.DUMMYFUNCTION("GOOGLEFINANCE(A6,""price"")"),485.5)</f>
        <v>485.5</v>
      </c>
      <c r="E6" s="42">
        <f>IFERROR(__xludf.DUMMYFUNCTION("INDEX(GOOGLEFINANCE(A6, ""PRICE"", TODAY()-367, TODAY()-367), 2, 2)
"),418.79)</f>
        <v>418.79</v>
      </c>
      <c r="G6" s="45" t="s">
        <v>49</v>
      </c>
      <c r="H6" s="47">
        <f t="shared" si="1"/>
        <v>0.03663721674</v>
      </c>
    </row>
    <row r="7">
      <c r="A7" s="44" t="s">
        <v>6</v>
      </c>
      <c r="B7" s="45" t="s">
        <v>50</v>
      </c>
      <c r="C7" s="46">
        <v>0.2</v>
      </c>
      <c r="D7" s="42">
        <f>IFERROR(__xludf.DUMMYFUNCTION("GOOGLEFINANCE(A7,""price"")"),320.28)</f>
        <v>320.28</v>
      </c>
      <c r="E7" s="42">
        <f>IFERROR(__xludf.DUMMYFUNCTION("INDEX(GOOGLEFINANCE(A7, ""close"", TODAY()-367, TODAY()-367), 2, 2)
"),169.43)</f>
        <v>169.43</v>
      </c>
      <c r="G7" s="45" t="s">
        <v>50</v>
      </c>
      <c r="H7" s="47">
        <f t="shared" si="1"/>
        <v>0.1780676386</v>
      </c>
    </row>
    <row r="8">
      <c r="A8" s="44" t="s">
        <v>13</v>
      </c>
      <c r="B8" s="45" t="s">
        <v>51</v>
      </c>
      <c r="C8" s="46">
        <v>0.15</v>
      </c>
      <c r="D8" s="42">
        <f>IFERROR(__xludf.DUMMYFUNCTION("GOOGLEFINANCE(A8,""price"")"),426.58)</f>
        <v>426.58</v>
      </c>
      <c r="E8" s="42">
        <f>IFERROR(__xludf.DUMMYFUNCTION("INDEX(GOOGLEFINANCE(A8, ""close"", TODAY()-367, TODAY()-367), 2, 2)
"),338.59)</f>
        <v>338.59</v>
      </c>
      <c r="G8" s="45" t="s">
        <v>51</v>
      </c>
      <c r="H8" s="47">
        <f t="shared" si="1"/>
        <v>0.03898077321</v>
      </c>
    </row>
    <row r="9">
      <c r="A9" s="48" t="s">
        <v>17</v>
      </c>
      <c r="B9" s="49" t="s">
        <v>52</v>
      </c>
      <c r="C9" s="50">
        <v>0.1</v>
      </c>
      <c r="D9" s="42">
        <f>IFERROR(__xludf.DUMMYFUNCTION("GOOGLEFINANCE(A9,""price"")"),72.88)</f>
        <v>72.88</v>
      </c>
      <c r="E9" s="42">
        <f>IFERROR(__xludf.DUMMYFUNCTION("INDEX(GOOGLEFINANCE(A9, ""close"", TODAY()-367, TODAY()-367), 2, 2)
"),64.38)</f>
        <v>64.38</v>
      </c>
      <c r="G9" s="49" t="s">
        <v>52</v>
      </c>
      <c r="H9" s="51">
        <f t="shared" si="1"/>
        <v>0.01320285803</v>
      </c>
    </row>
    <row r="10">
      <c r="C10" s="52">
        <f>SUM(C5:C9)</f>
        <v>1</v>
      </c>
      <c r="G10" s="53" t="s">
        <v>53</v>
      </c>
      <c r="H10" s="51">
        <f>SUM(H5:H9)</f>
        <v>0.3709672985</v>
      </c>
    </row>
    <row r="12">
      <c r="B12" s="54" t="s">
        <v>54</v>
      </c>
      <c r="C12" s="55">
        <v>10.0</v>
      </c>
    </row>
  </sheetData>
  <mergeCells count="2">
    <mergeCell ref="B3:C3"/>
    <mergeCell ref="G3:H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B4" s="53" t="s">
        <v>6</v>
      </c>
      <c r="I4" s="53" t="s">
        <v>4</v>
      </c>
      <c r="P4" s="53" t="s">
        <v>8</v>
      </c>
      <c r="W4" s="53" t="s">
        <v>21</v>
      </c>
      <c r="AD4" s="53" t="s">
        <v>10</v>
      </c>
      <c r="AK4" s="53" t="s">
        <v>13</v>
      </c>
    </row>
    <row r="5">
      <c r="B5" s="56" t="str">
        <f>IFERROR(__xludf.DUMMYFUNCTION("GOOGLEFINANCE(""GOOG"",""ALL"",TODAY()-365,TODAY(),""WEEKLY"")"),"Date")</f>
        <v>Date</v>
      </c>
      <c r="C5" s="56" t="str">
        <f>IFERROR(__xludf.DUMMYFUNCTION("""COMPUTED_VALUE"""),"Open")</f>
        <v>Open</v>
      </c>
      <c r="D5" s="56" t="str">
        <f>IFERROR(__xludf.DUMMYFUNCTION("""COMPUTED_VALUE"""),"High")</f>
        <v>High</v>
      </c>
      <c r="E5" s="56" t="str">
        <f>IFERROR(__xludf.DUMMYFUNCTION("""COMPUTED_VALUE"""),"Low")</f>
        <v>Low</v>
      </c>
      <c r="F5" s="56" t="str">
        <f>IFERROR(__xludf.DUMMYFUNCTION("""COMPUTED_VALUE"""),"Close")</f>
        <v>Close</v>
      </c>
      <c r="G5" s="56" t="str">
        <f>IFERROR(__xludf.DUMMYFUNCTION("""COMPUTED_VALUE"""),"Volume")</f>
        <v>Volume</v>
      </c>
      <c r="I5" s="56" t="str">
        <f>IFERROR(__xludf.DUMMYFUNCTION("GOOGLEFINANCE(""aapl"",""ALL"",TODAY()-365,TODAY(),""WEEKLY"")"),"Date")</f>
        <v>Date</v>
      </c>
      <c r="J5" s="56" t="str">
        <f>IFERROR(__xludf.DUMMYFUNCTION("""COMPUTED_VALUE"""),"Open")</f>
        <v>Open</v>
      </c>
      <c r="K5" s="56" t="str">
        <f>IFERROR(__xludf.DUMMYFUNCTION("""COMPUTED_VALUE"""),"High")</f>
        <v>High</v>
      </c>
      <c r="L5" s="56" t="str">
        <f>IFERROR(__xludf.DUMMYFUNCTION("""COMPUTED_VALUE"""),"Low")</f>
        <v>Low</v>
      </c>
      <c r="M5" s="56" t="str">
        <f>IFERROR(__xludf.DUMMYFUNCTION("""COMPUTED_VALUE"""),"Close")</f>
        <v>Close</v>
      </c>
      <c r="N5" s="56" t="str">
        <f>IFERROR(__xludf.DUMMYFUNCTION("""COMPUTED_VALUE"""),"Volume")</f>
        <v>Volume</v>
      </c>
      <c r="P5" s="56" t="str">
        <f>IFERROR(__xludf.DUMMYFUNCTION("GOOGLEFINANCE(""MSFT"",""ALL"",TODAY()-365,TODAY(),""WEEKLY"")"),"Date")</f>
        <v>Date</v>
      </c>
      <c r="Q5" s="56" t="str">
        <f>IFERROR(__xludf.DUMMYFUNCTION("""COMPUTED_VALUE"""),"Open")</f>
        <v>Open</v>
      </c>
      <c r="R5" s="56" t="str">
        <f>IFERROR(__xludf.DUMMYFUNCTION("""COMPUTED_VALUE"""),"High")</f>
        <v>High</v>
      </c>
      <c r="S5" s="56" t="str">
        <f>IFERROR(__xludf.DUMMYFUNCTION("""COMPUTED_VALUE"""),"Low")</f>
        <v>Low</v>
      </c>
      <c r="T5" s="56" t="str">
        <f>IFERROR(__xludf.DUMMYFUNCTION("""COMPUTED_VALUE"""),"Close")</f>
        <v>Close</v>
      </c>
      <c r="U5" s="56" t="str">
        <f>IFERROR(__xludf.DUMMYFUNCTION("""COMPUTED_VALUE"""),"Volume")</f>
        <v>Volume</v>
      </c>
      <c r="W5" s="56" t="str">
        <f>IFERROR(__xludf.DUMMYFUNCTION("GOOGLEFINANCE(""JPM"",""ALL"",TODAY()-365,TODAY(),""WEEKLY"")"),"Date")</f>
        <v>Date</v>
      </c>
      <c r="X5" s="56" t="str">
        <f>IFERROR(__xludf.DUMMYFUNCTION("""COMPUTED_VALUE"""),"Open")</f>
        <v>Open</v>
      </c>
      <c r="Y5" s="56" t="str">
        <f>IFERROR(__xludf.DUMMYFUNCTION("""COMPUTED_VALUE"""),"High")</f>
        <v>High</v>
      </c>
      <c r="Z5" s="56" t="str">
        <f>IFERROR(__xludf.DUMMYFUNCTION("""COMPUTED_VALUE"""),"Low")</f>
        <v>Low</v>
      </c>
      <c r="AA5" s="56" t="str">
        <f>IFERROR(__xludf.DUMMYFUNCTION("""COMPUTED_VALUE"""),"Close")</f>
        <v>Close</v>
      </c>
      <c r="AB5" s="56" t="str">
        <f>IFERROR(__xludf.DUMMYFUNCTION("""COMPUTED_VALUE"""),"Volume")</f>
        <v>Volume</v>
      </c>
      <c r="AD5" s="56" t="str">
        <f>IFERROR(__xludf.DUMMYFUNCTION("GOOGLEFINANCE(""AMZN"",""ALL"",TODAY()-365,TODAY(),""WEEKLY"")"),"Date")</f>
        <v>Date</v>
      </c>
      <c r="AE5" s="56" t="str">
        <f>IFERROR(__xludf.DUMMYFUNCTION("""COMPUTED_VALUE"""),"Open")</f>
        <v>Open</v>
      </c>
      <c r="AF5" s="56" t="str">
        <f>IFERROR(__xludf.DUMMYFUNCTION("""COMPUTED_VALUE"""),"High")</f>
        <v>High</v>
      </c>
      <c r="AG5" s="56" t="str">
        <f>IFERROR(__xludf.DUMMYFUNCTION("""COMPUTED_VALUE"""),"Low")</f>
        <v>Low</v>
      </c>
      <c r="AH5" s="56" t="str">
        <f>IFERROR(__xludf.DUMMYFUNCTION("""COMPUTED_VALUE"""),"Close")</f>
        <v>Close</v>
      </c>
      <c r="AI5" s="56" t="str">
        <f>IFERROR(__xludf.DUMMYFUNCTION("""COMPUTED_VALUE"""),"Volume")</f>
        <v>Volume</v>
      </c>
      <c r="AK5" s="56" t="str">
        <f>IFERROR(__xludf.DUMMYFUNCTION("GOOGLEFINANCE(""tsla"",""ALL"",TODAY()-365,TODAY(),""WEEKLY"")"),"Date")</f>
        <v>Date</v>
      </c>
      <c r="AL5" s="56" t="str">
        <f>IFERROR(__xludf.DUMMYFUNCTION("""COMPUTED_VALUE"""),"Open")</f>
        <v>Open</v>
      </c>
      <c r="AM5" s="56" t="str">
        <f>IFERROR(__xludf.DUMMYFUNCTION("""COMPUTED_VALUE"""),"High")</f>
        <v>High</v>
      </c>
      <c r="AN5" s="56" t="str">
        <f>IFERROR(__xludf.DUMMYFUNCTION("""COMPUTED_VALUE"""),"Low")</f>
        <v>Low</v>
      </c>
      <c r="AO5" s="56" t="str">
        <f>IFERROR(__xludf.DUMMYFUNCTION("""COMPUTED_VALUE"""),"Close")</f>
        <v>Close</v>
      </c>
      <c r="AP5" s="56" t="str">
        <f>IFERROR(__xludf.DUMMYFUNCTION("""COMPUTED_VALUE"""),"Volume")</f>
        <v>Volume</v>
      </c>
    </row>
    <row r="6">
      <c r="B6" s="27">
        <f>IFERROR(__xludf.DUMMYFUNCTION("""COMPUTED_VALUE"""),45625.54513888889)</f>
        <v>45625.54514</v>
      </c>
      <c r="C6" s="25">
        <f>IFERROR(__xludf.DUMMYFUNCTION("""COMPUTED_VALUE"""),167.99)</f>
        <v>167.99</v>
      </c>
      <c r="D6" s="25">
        <f>IFERROR(__xludf.DUMMYFUNCTION("""COMPUTED_VALUE"""),171.5)</f>
        <v>171.5</v>
      </c>
      <c r="E6" s="25">
        <f>IFERROR(__xludf.DUMMYFUNCTION("""COMPUTED_VALUE"""),167.4)</f>
        <v>167.4</v>
      </c>
      <c r="F6" s="25">
        <f>IFERROR(__xludf.DUMMYFUNCTION("""COMPUTED_VALUE"""),170.49)</f>
        <v>170.49</v>
      </c>
      <c r="G6" s="25">
        <f>IFERROR(__xludf.DUMMYFUNCTION("""COMPUTED_VALUE"""),5.8017213E7)</f>
        <v>58017213</v>
      </c>
      <c r="I6" s="32">
        <f>IFERROR(__xludf.DUMMYFUNCTION("""COMPUTED_VALUE"""),45625.54513888889)</f>
        <v>45625.54514</v>
      </c>
      <c r="J6" s="25">
        <f>IFERROR(__xludf.DUMMYFUNCTION("""COMPUTED_VALUE"""),231.46)</f>
        <v>231.46</v>
      </c>
      <c r="K6" s="25">
        <f>IFERROR(__xludf.DUMMYFUNCTION("""COMPUTED_VALUE"""),237.81)</f>
        <v>237.81</v>
      </c>
      <c r="L6" s="25">
        <f>IFERROR(__xludf.DUMMYFUNCTION("""COMPUTED_VALUE"""),229.74)</f>
        <v>229.74</v>
      </c>
      <c r="M6" s="25">
        <f>IFERROR(__xludf.DUMMYFUNCTION("""COMPUTED_VALUE"""),237.33)</f>
        <v>237.33</v>
      </c>
      <c r="N6" s="25">
        <f>IFERROR(__xludf.DUMMYFUNCTION("""COMPUTED_VALUE"""),1.98118837E8)</f>
        <v>198118837</v>
      </c>
      <c r="P6" s="32">
        <f>IFERROR(__xludf.DUMMYFUNCTION("""COMPUTED_VALUE"""),45625.54513888889)</f>
        <v>45625.54514</v>
      </c>
      <c r="Q6" s="25">
        <f>IFERROR(__xludf.DUMMYFUNCTION("""COMPUTED_VALUE"""),418.38)</f>
        <v>418.38</v>
      </c>
      <c r="R6" s="25">
        <f>IFERROR(__xludf.DUMMYFUNCTION("""COMPUTED_VALUE"""),429.04)</f>
        <v>429.04</v>
      </c>
      <c r="S6" s="25">
        <f>IFERROR(__xludf.DUMMYFUNCTION("""COMPUTED_VALUE"""),414.85)</f>
        <v>414.85</v>
      </c>
      <c r="T6" s="25">
        <f>IFERROR(__xludf.DUMMYFUNCTION("""COMPUTED_VALUE"""),423.46)</f>
        <v>423.46</v>
      </c>
      <c r="U6" s="25">
        <f>IFERROR(__xludf.DUMMYFUNCTION("""COMPUTED_VALUE"""),8.5754344E7)</f>
        <v>85754344</v>
      </c>
      <c r="W6" s="32">
        <f>IFERROR(__xludf.DUMMYFUNCTION("""COMPUTED_VALUE"""),45625.54166666667)</f>
        <v>45625.54167</v>
      </c>
      <c r="X6" s="25">
        <f>IFERROR(__xludf.DUMMYFUNCTION("""COMPUTED_VALUE"""),249.59)</f>
        <v>249.59</v>
      </c>
      <c r="Y6" s="25">
        <f>IFERROR(__xludf.DUMMYFUNCTION("""COMPUTED_VALUE"""),254.31)</f>
        <v>254.31</v>
      </c>
      <c r="Z6" s="25">
        <f>IFERROR(__xludf.DUMMYFUNCTION("""COMPUTED_VALUE"""),248.34)</f>
        <v>248.34</v>
      </c>
      <c r="AA6" s="25">
        <f>IFERROR(__xludf.DUMMYFUNCTION("""COMPUTED_VALUE"""),249.72)</f>
        <v>249.72</v>
      </c>
      <c r="AB6" s="25">
        <f>IFERROR(__xludf.DUMMYFUNCTION("""COMPUTED_VALUE"""),2.7474582E7)</f>
        <v>27474582</v>
      </c>
      <c r="AD6" s="32">
        <f>IFERROR(__xludf.DUMMYFUNCTION("""COMPUTED_VALUE"""),45625.54513888889)</f>
        <v>45625.54514</v>
      </c>
      <c r="AE6" s="25">
        <f>IFERROR(__xludf.DUMMYFUNCTION("""COMPUTED_VALUE"""),199.28)</f>
        <v>199.28</v>
      </c>
      <c r="AF6" s="25">
        <f>IFERROR(__xludf.DUMMYFUNCTION("""COMPUTED_VALUE"""),208.2)</f>
        <v>208.2</v>
      </c>
      <c r="AG6" s="25">
        <f>IFERROR(__xludf.DUMMYFUNCTION("""COMPUTED_VALUE"""),199.0)</f>
        <v>199</v>
      </c>
      <c r="AH6" s="25">
        <f>IFERROR(__xludf.DUMMYFUNCTION("""COMPUTED_VALUE"""),207.89)</f>
        <v>207.89</v>
      </c>
      <c r="AI6" s="25">
        <f>IFERROR(__xludf.DUMMYFUNCTION("""COMPUTED_VALUE"""),1.35313494E8)</f>
        <v>135313494</v>
      </c>
      <c r="AK6" s="32">
        <f>IFERROR(__xludf.DUMMYFUNCTION("""COMPUTED_VALUE"""),45625.54513888889)</f>
        <v>45625.54514</v>
      </c>
      <c r="AL6" s="25">
        <f>IFERROR(__xludf.DUMMYFUNCTION("""COMPUTED_VALUE"""),360.14)</f>
        <v>360.14</v>
      </c>
      <c r="AM6" s="25">
        <f>IFERROR(__xludf.DUMMYFUNCTION("""COMPUTED_VALUE"""),361.93)</f>
        <v>361.93</v>
      </c>
      <c r="AN6" s="25">
        <f>IFERROR(__xludf.DUMMYFUNCTION("""COMPUTED_VALUE"""),326.59)</f>
        <v>326.59</v>
      </c>
      <c r="AO6" s="25">
        <f>IFERROR(__xludf.DUMMYFUNCTION("""COMPUTED_VALUE"""),345.16)</f>
        <v>345.16</v>
      </c>
      <c r="AP6" s="25">
        <f>IFERROR(__xludf.DUMMYFUNCTION("""COMPUTED_VALUE"""),2.53250816E8)</f>
        <v>253250816</v>
      </c>
    </row>
    <row r="7">
      <c r="B7" s="27">
        <f>IFERROR(__xludf.DUMMYFUNCTION("""COMPUTED_VALUE"""),45632.66666666667)</f>
        <v>45632.66667</v>
      </c>
      <c r="C7" s="25">
        <f>IFERROR(__xludf.DUMMYFUNCTION("""COMPUTED_VALUE"""),170.32)</f>
        <v>170.32</v>
      </c>
      <c r="D7" s="25">
        <f>IFERROR(__xludf.DUMMYFUNCTION("""COMPUTED_VALUE"""),177.71)</f>
        <v>177.71</v>
      </c>
      <c r="E7" s="25">
        <f>IFERROR(__xludf.DUMMYFUNCTION("""COMPUTED_VALUE"""),170.27)</f>
        <v>170.27</v>
      </c>
      <c r="F7" s="25">
        <f>IFERROR(__xludf.DUMMYFUNCTION("""COMPUTED_VALUE"""),176.49)</f>
        <v>176.49</v>
      </c>
      <c r="G7" s="25">
        <f>IFERROR(__xludf.DUMMYFUNCTION("""COMPUTED_VALUE"""),8.0019838E7)</f>
        <v>80019838</v>
      </c>
      <c r="I7" s="32">
        <f>IFERROR(__xludf.DUMMYFUNCTION("""COMPUTED_VALUE"""),45632.66666666667)</f>
        <v>45632.66667</v>
      </c>
      <c r="J7" s="25">
        <f>IFERROR(__xludf.DUMMYFUNCTION("""COMPUTED_VALUE"""),237.27)</f>
        <v>237.27</v>
      </c>
      <c r="K7" s="25">
        <f>IFERROR(__xludf.DUMMYFUNCTION("""COMPUTED_VALUE"""),244.63)</f>
        <v>244.63</v>
      </c>
      <c r="L7" s="25">
        <f>IFERROR(__xludf.DUMMYFUNCTION("""COMPUTED_VALUE"""),237.16)</f>
        <v>237.16</v>
      </c>
      <c r="M7" s="25">
        <f>IFERROR(__xludf.DUMMYFUNCTION("""COMPUTED_VALUE"""),242.84)</f>
        <v>242.84</v>
      </c>
      <c r="N7" s="25">
        <f>IFERROR(__xludf.DUMMYFUNCTION("""COMPUTED_VALUE"""),2.08286552E8)</f>
        <v>208286552</v>
      </c>
      <c r="P7" s="32">
        <f>IFERROR(__xludf.DUMMYFUNCTION("""COMPUTED_VALUE"""),45632.66666666667)</f>
        <v>45632.66667</v>
      </c>
      <c r="Q7" s="25">
        <f>IFERROR(__xludf.DUMMYFUNCTION("""COMPUTED_VALUE"""),421.57)</f>
        <v>421.57</v>
      </c>
      <c r="R7" s="25">
        <f>IFERROR(__xludf.DUMMYFUNCTION("""COMPUTED_VALUE"""),446.1)</f>
        <v>446.1</v>
      </c>
      <c r="S7" s="25">
        <f>IFERROR(__xludf.DUMMYFUNCTION("""COMPUTED_VALUE"""),421.31)</f>
        <v>421.31</v>
      </c>
      <c r="T7" s="25">
        <f>IFERROR(__xludf.DUMMYFUNCTION("""COMPUTED_VALUE"""),443.57)</f>
        <v>443.57</v>
      </c>
      <c r="U7" s="25">
        <f>IFERROR(__xludf.DUMMYFUNCTION("""COMPUTED_VALUE"""),1.05037416E8)</f>
        <v>105037416</v>
      </c>
      <c r="W7" s="32">
        <f>IFERROR(__xludf.DUMMYFUNCTION("""COMPUTED_VALUE"""),45632.66666666667)</f>
        <v>45632.66667</v>
      </c>
      <c r="X7" s="25">
        <f>IFERROR(__xludf.DUMMYFUNCTION("""COMPUTED_VALUE"""),249.55)</f>
        <v>249.55</v>
      </c>
      <c r="Y7" s="25">
        <f>IFERROR(__xludf.DUMMYFUNCTION("""COMPUTED_VALUE"""),250.25)</f>
        <v>250.25</v>
      </c>
      <c r="Z7" s="25">
        <f>IFERROR(__xludf.DUMMYFUNCTION("""COMPUTED_VALUE"""),242.23)</f>
        <v>242.23</v>
      </c>
      <c r="AA7" s="25">
        <f>IFERROR(__xludf.DUMMYFUNCTION("""COMPUTED_VALUE"""),247.36)</f>
        <v>247.36</v>
      </c>
      <c r="AB7" s="25">
        <f>IFERROR(__xludf.DUMMYFUNCTION("""COMPUTED_VALUE"""),3.4995974E7)</f>
        <v>34995974</v>
      </c>
      <c r="AD7" s="32">
        <f>IFERROR(__xludf.DUMMYFUNCTION("""COMPUTED_VALUE"""),45632.66666666667)</f>
        <v>45632.66667</v>
      </c>
      <c r="AE7" s="25">
        <f>IFERROR(__xludf.DUMMYFUNCTION("""COMPUTED_VALUE"""),209.96)</f>
        <v>209.96</v>
      </c>
      <c r="AF7" s="25">
        <f>IFERROR(__xludf.DUMMYFUNCTION("""COMPUTED_VALUE"""),227.15)</f>
        <v>227.15</v>
      </c>
      <c r="AG7" s="25">
        <f>IFERROR(__xludf.DUMMYFUNCTION("""COMPUTED_VALUE"""),209.51)</f>
        <v>209.51</v>
      </c>
      <c r="AH7" s="25">
        <f>IFERROR(__xludf.DUMMYFUNCTION("""COMPUTED_VALUE"""),227.03)</f>
        <v>227.03</v>
      </c>
      <c r="AI7" s="25">
        <f>IFERROR(__xludf.DUMMYFUNCTION("""COMPUTED_VALUE"""),2.05802018E8)</f>
        <v>205802018</v>
      </c>
      <c r="AK7" s="32">
        <f>IFERROR(__xludf.DUMMYFUNCTION("""COMPUTED_VALUE"""),45632.66666666667)</f>
        <v>45632.66667</v>
      </c>
      <c r="AL7" s="25">
        <f>IFERROR(__xludf.DUMMYFUNCTION("""COMPUTED_VALUE"""),352.38)</f>
        <v>352.38</v>
      </c>
      <c r="AM7" s="25">
        <f>IFERROR(__xludf.DUMMYFUNCTION("""COMPUTED_VALUE"""),389.49)</f>
        <v>389.49</v>
      </c>
      <c r="AN7" s="25">
        <f>IFERROR(__xludf.DUMMYFUNCTION("""COMPUTED_VALUE"""),348.2)</f>
        <v>348.2</v>
      </c>
      <c r="AO7" s="25">
        <f>IFERROR(__xludf.DUMMYFUNCTION("""COMPUTED_VALUE"""),389.22)</f>
        <v>389.22</v>
      </c>
      <c r="AP7" s="25">
        <f>IFERROR(__xludf.DUMMYFUNCTION("""COMPUTED_VALUE"""),3.49923951E8)</f>
        <v>349923951</v>
      </c>
    </row>
    <row r="8">
      <c r="B8" s="27">
        <f>IFERROR(__xludf.DUMMYFUNCTION("""COMPUTED_VALUE"""),45639.66666666667)</f>
        <v>45639.66667</v>
      </c>
      <c r="C8" s="25">
        <f>IFERROR(__xludf.DUMMYFUNCTION("""COMPUTED_VALUE"""),175.72)</f>
        <v>175.72</v>
      </c>
      <c r="D8" s="25">
        <f>IFERROR(__xludf.DUMMYFUNCTION("""COMPUTED_VALUE"""),196.89)</f>
        <v>196.89</v>
      </c>
      <c r="E8" s="25">
        <f>IFERROR(__xludf.DUMMYFUNCTION("""COMPUTED_VALUE"""),175.4)</f>
        <v>175.4</v>
      </c>
      <c r="F8" s="25">
        <f>IFERROR(__xludf.DUMMYFUNCTION("""COMPUTED_VALUE"""),191.38)</f>
        <v>191.38</v>
      </c>
      <c r="G8" s="25">
        <f>IFERROR(__xludf.DUMMYFUNCTION("""COMPUTED_VALUE"""),1.39950687E8)</f>
        <v>139950687</v>
      </c>
      <c r="I8" s="32">
        <f>IFERROR(__xludf.DUMMYFUNCTION("""COMPUTED_VALUE"""),45639.66666666667)</f>
        <v>45639.66667</v>
      </c>
      <c r="J8" s="25">
        <f>IFERROR(__xludf.DUMMYFUNCTION("""COMPUTED_VALUE"""),241.83)</f>
        <v>241.83</v>
      </c>
      <c r="K8" s="25">
        <f>IFERROR(__xludf.DUMMYFUNCTION("""COMPUTED_VALUE"""),250.8)</f>
        <v>250.8</v>
      </c>
      <c r="L8" s="25">
        <f>IFERROR(__xludf.DUMMYFUNCTION("""COMPUTED_VALUE"""),241.75)</f>
        <v>241.75</v>
      </c>
      <c r="M8" s="25">
        <f>IFERROR(__xludf.DUMMYFUNCTION("""COMPUTED_VALUE"""),248.13)</f>
        <v>248.13</v>
      </c>
      <c r="N8" s="25">
        <f>IFERROR(__xludf.DUMMYFUNCTION("""COMPUTED_VALUE"""),1.92702674E8)</f>
        <v>192702674</v>
      </c>
      <c r="P8" s="32">
        <f>IFERROR(__xludf.DUMMYFUNCTION("""COMPUTED_VALUE"""),45639.66666666667)</f>
        <v>45639.66667</v>
      </c>
      <c r="Q8" s="25">
        <f>IFERROR(__xludf.DUMMYFUNCTION("""COMPUTED_VALUE"""),442.6)</f>
        <v>442.6</v>
      </c>
      <c r="R8" s="25">
        <f>IFERROR(__xludf.DUMMYFUNCTION("""COMPUTED_VALUE"""),456.16)</f>
        <v>456.16</v>
      </c>
      <c r="S8" s="25">
        <f>IFERROR(__xludf.DUMMYFUNCTION("""COMPUTED_VALUE"""),440.5)</f>
        <v>440.5</v>
      </c>
      <c r="T8" s="25">
        <f>IFERROR(__xludf.DUMMYFUNCTION("""COMPUTED_VALUE"""),447.27)</f>
        <v>447.27</v>
      </c>
      <c r="U8" s="25">
        <f>IFERROR(__xludf.DUMMYFUNCTION("""COMPUTED_VALUE"""),9.7826667E7)</f>
        <v>97826667</v>
      </c>
      <c r="W8" s="32">
        <f>IFERROR(__xludf.DUMMYFUNCTION("""COMPUTED_VALUE"""),45639.66666666667)</f>
        <v>45639.66667</v>
      </c>
      <c r="X8" s="25">
        <f>IFERROR(__xludf.DUMMYFUNCTION("""COMPUTED_VALUE"""),247.13)</f>
        <v>247.13</v>
      </c>
      <c r="Y8" s="25">
        <f>IFERROR(__xludf.DUMMYFUNCTION("""COMPUTED_VALUE"""),247.96)</f>
        <v>247.96</v>
      </c>
      <c r="Z8" s="25">
        <f>IFERROR(__xludf.DUMMYFUNCTION("""COMPUTED_VALUE"""),239.14)</f>
        <v>239.14</v>
      </c>
      <c r="AA8" s="25">
        <f>IFERROR(__xludf.DUMMYFUNCTION("""COMPUTED_VALUE"""),239.94)</f>
        <v>239.94</v>
      </c>
      <c r="AB8" s="25">
        <f>IFERROR(__xludf.DUMMYFUNCTION("""COMPUTED_VALUE"""),4.0575767E7)</f>
        <v>40575767</v>
      </c>
      <c r="AD8" s="32">
        <f>IFERROR(__xludf.DUMMYFUNCTION("""COMPUTED_VALUE"""),45639.66666666667)</f>
        <v>45639.66667</v>
      </c>
      <c r="AE8" s="25">
        <f>IFERROR(__xludf.DUMMYFUNCTION("""COMPUTED_VALUE"""),227.21)</f>
        <v>227.21</v>
      </c>
      <c r="AF8" s="25">
        <f>IFERROR(__xludf.DUMMYFUNCTION("""COMPUTED_VALUE"""),231.2)</f>
        <v>231.2</v>
      </c>
      <c r="AG8" s="25">
        <f>IFERROR(__xludf.DUMMYFUNCTION("""COMPUTED_VALUE"""),224.2)</f>
        <v>224.2</v>
      </c>
      <c r="AH8" s="25">
        <f>IFERROR(__xludf.DUMMYFUNCTION("""COMPUTED_VALUE"""),227.46)</f>
        <v>227.46</v>
      </c>
      <c r="AI8" s="25">
        <f>IFERROR(__xludf.DUMMYFUNCTION("""COMPUTED_VALUE"""),1.39582209E8)</f>
        <v>139582209</v>
      </c>
      <c r="AK8" s="32">
        <f>IFERROR(__xludf.DUMMYFUNCTION("""COMPUTED_VALUE"""),45639.66666666667)</f>
        <v>45639.66667</v>
      </c>
      <c r="AL8" s="25">
        <f>IFERROR(__xludf.DUMMYFUNCTION("""COMPUTED_VALUE"""),397.61)</f>
        <v>397.61</v>
      </c>
      <c r="AM8" s="25">
        <f>IFERROR(__xludf.DUMMYFUNCTION("""COMPUTED_VALUE"""),436.3)</f>
        <v>436.3</v>
      </c>
      <c r="AN8" s="25">
        <f>IFERROR(__xludf.DUMMYFUNCTION("""COMPUTED_VALUE"""),378.01)</f>
        <v>378.01</v>
      </c>
      <c r="AO8" s="25">
        <f>IFERROR(__xludf.DUMMYFUNCTION("""COMPUTED_VALUE"""),436.23)</f>
        <v>436.23</v>
      </c>
      <c r="AP8" s="25">
        <f>IFERROR(__xludf.DUMMYFUNCTION("""COMPUTED_VALUE"""),4.74962693E8)</f>
        <v>474962693</v>
      </c>
    </row>
    <row r="9">
      <c r="B9" s="27">
        <f>IFERROR(__xludf.DUMMYFUNCTION("""COMPUTED_VALUE"""),45646.66666666667)</f>
        <v>45646.66667</v>
      </c>
      <c r="C9" s="25">
        <f>IFERROR(__xludf.DUMMYFUNCTION("""COMPUTED_VALUE"""),194.37)</f>
        <v>194.37</v>
      </c>
      <c r="D9" s="25">
        <f>IFERROR(__xludf.DUMMYFUNCTION("""COMPUTED_VALUE"""),202.88)</f>
        <v>202.88</v>
      </c>
      <c r="E9" s="25">
        <f>IFERROR(__xludf.DUMMYFUNCTION("""COMPUTED_VALUE"""),186.37)</f>
        <v>186.37</v>
      </c>
      <c r="F9" s="25">
        <f>IFERROR(__xludf.DUMMYFUNCTION("""COMPUTED_VALUE"""),192.96)</f>
        <v>192.96</v>
      </c>
      <c r="G9" s="25">
        <f>IFERROR(__xludf.DUMMYFUNCTION("""COMPUTED_VALUE"""),1.56317436E8)</f>
        <v>156317436</v>
      </c>
      <c r="I9" s="32">
        <f>IFERROR(__xludf.DUMMYFUNCTION("""COMPUTED_VALUE"""),45646.66666666667)</f>
        <v>45646.66667</v>
      </c>
      <c r="J9" s="25">
        <f>IFERROR(__xludf.DUMMYFUNCTION("""COMPUTED_VALUE"""),247.99)</f>
        <v>247.99</v>
      </c>
      <c r="K9" s="25">
        <f>IFERROR(__xludf.DUMMYFUNCTION("""COMPUTED_VALUE"""),255.0)</f>
        <v>255</v>
      </c>
      <c r="L9" s="25">
        <f>IFERROR(__xludf.DUMMYFUNCTION("""COMPUTED_VALUE"""),245.69)</f>
        <v>245.69</v>
      </c>
      <c r="M9" s="25">
        <f>IFERROR(__xludf.DUMMYFUNCTION("""COMPUTED_VALUE"""),254.49)</f>
        <v>254.49</v>
      </c>
      <c r="N9" s="25">
        <f>IFERROR(__xludf.DUMMYFUNCTION("""COMPUTED_VALUE"""),3.68202745E8)</f>
        <v>368202745</v>
      </c>
      <c r="P9" s="32">
        <f>IFERROR(__xludf.DUMMYFUNCTION("""COMPUTED_VALUE"""),45646.66666666667)</f>
        <v>45646.66667</v>
      </c>
      <c r="Q9" s="25">
        <f>IFERROR(__xludf.DUMMYFUNCTION("""COMPUTED_VALUE"""),447.27)</f>
        <v>447.27</v>
      </c>
      <c r="R9" s="25">
        <f>IFERROR(__xludf.DUMMYFUNCTION("""COMPUTED_VALUE"""),455.29)</f>
        <v>455.29</v>
      </c>
      <c r="S9" s="25">
        <f>IFERROR(__xludf.DUMMYFUNCTION("""COMPUTED_VALUE"""),428.63)</f>
        <v>428.63</v>
      </c>
      <c r="T9" s="25">
        <f>IFERROR(__xludf.DUMMYFUNCTION("""COMPUTED_VALUE"""),436.6)</f>
        <v>436.6</v>
      </c>
      <c r="U9" s="25">
        <f>IFERROR(__xludf.DUMMYFUNCTION("""COMPUTED_VALUE"""),1.58004248E8)</f>
        <v>158004248</v>
      </c>
      <c r="W9" s="32">
        <f>IFERROR(__xludf.DUMMYFUNCTION("""COMPUTED_VALUE"""),45646.66666666667)</f>
        <v>45646.66667</v>
      </c>
      <c r="X9" s="25">
        <f>IFERROR(__xludf.DUMMYFUNCTION("""COMPUTED_VALUE"""),240.61)</f>
        <v>240.61</v>
      </c>
      <c r="Y9" s="25">
        <f>IFERROR(__xludf.DUMMYFUNCTION("""COMPUTED_VALUE"""),240.67)</f>
        <v>240.67</v>
      </c>
      <c r="Z9" s="25">
        <f>IFERROR(__xludf.DUMMYFUNCTION("""COMPUTED_VALUE"""),229.53)</f>
        <v>229.53</v>
      </c>
      <c r="AA9" s="25">
        <f>IFERROR(__xludf.DUMMYFUNCTION("""COMPUTED_VALUE"""),237.6)</f>
        <v>237.6</v>
      </c>
      <c r="AB9" s="25">
        <f>IFERROR(__xludf.DUMMYFUNCTION("""COMPUTED_VALUE"""),7.2577224E7)</f>
        <v>72577224</v>
      </c>
      <c r="AD9" s="32">
        <f>IFERROR(__xludf.DUMMYFUNCTION("""COMPUTED_VALUE"""),45646.66666666667)</f>
        <v>45646.66667</v>
      </c>
      <c r="AE9" s="25">
        <f>IFERROR(__xludf.DUMMYFUNCTION("""COMPUTED_VALUE"""),230.23)</f>
        <v>230.23</v>
      </c>
      <c r="AF9" s="25">
        <f>IFERROR(__xludf.DUMMYFUNCTION("""COMPUTED_VALUE"""),233.0)</f>
        <v>233</v>
      </c>
      <c r="AG9" s="25">
        <f>IFERROR(__xludf.DUMMYFUNCTION("""COMPUTED_VALUE"""),218.73)</f>
        <v>218.73</v>
      </c>
      <c r="AH9" s="25">
        <f>IFERROR(__xludf.DUMMYFUNCTION("""COMPUTED_VALUE"""),224.92)</f>
        <v>224.92</v>
      </c>
      <c r="AI9" s="25">
        <f>IFERROR(__xludf.DUMMYFUNCTION("""COMPUTED_VALUE"""),2.44979593E8)</f>
        <v>244979593</v>
      </c>
      <c r="AK9" s="32">
        <f>IFERROR(__xludf.DUMMYFUNCTION("""COMPUTED_VALUE"""),45646.66666666667)</f>
        <v>45646.66667</v>
      </c>
      <c r="AL9" s="25">
        <f>IFERROR(__xludf.DUMMYFUNCTION("""COMPUTED_VALUE"""),441.09)</f>
        <v>441.09</v>
      </c>
      <c r="AM9" s="25">
        <f>IFERROR(__xludf.DUMMYFUNCTION("""COMPUTED_VALUE"""),488.54)</f>
        <v>488.54</v>
      </c>
      <c r="AN9" s="25">
        <f>IFERROR(__xludf.DUMMYFUNCTION("""COMPUTED_VALUE"""),417.64)</f>
        <v>417.64</v>
      </c>
      <c r="AO9" s="25">
        <f>IFERROR(__xludf.DUMMYFUNCTION("""COMPUTED_VALUE"""),421.06)</f>
        <v>421.06</v>
      </c>
      <c r="AP9" s="25">
        <f>IFERROR(__xludf.DUMMYFUNCTION("""COMPUTED_VALUE"""),6.45429899E8)</f>
        <v>645429899</v>
      </c>
    </row>
    <row r="10">
      <c r="B10" s="27">
        <f>IFERROR(__xludf.DUMMYFUNCTION("""COMPUTED_VALUE"""),45653.66666666667)</f>
        <v>45653.66667</v>
      </c>
      <c r="C10" s="25">
        <f>IFERROR(__xludf.DUMMYFUNCTION("""COMPUTED_VALUE"""),194.03)</f>
        <v>194.03</v>
      </c>
      <c r="D10" s="25">
        <f>IFERROR(__xludf.DUMMYFUNCTION("""COMPUTED_VALUE"""),198.16)</f>
        <v>198.16</v>
      </c>
      <c r="E10" s="25">
        <f>IFERROR(__xludf.DUMMYFUNCTION("""COMPUTED_VALUE"""),191.63)</f>
        <v>191.63</v>
      </c>
      <c r="F10" s="25">
        <f>IFERROR(__xludf.DUMMYFUNCTION("""COMPUTED_VALUE"""),194.04)</f>
        <v>194.04</v>
      </c>
      <c r="G10" s="25">
        <f>IFERROR(__xludf.DUMMYFUNCTION("""COMPUTED_VALUE"""),4.4657193E7)</f>
        <v>44657193</v>
      </c>
      <c r="I10" s="32">
        <f>IFERROR(__xludf.DUMMYFUNCTION("""COMPUTED_VALUE"""),45653.66666666667)</f>
        <v>45653.66667</v>
      </c>
      <c r="J10" s="25">
        <f>IFERROR(__xludf.DUMMYFUNCTION("""COMPUTED_VALUE"""),254.77)</f>
        <v>254.77</v>
      </c>
      <c r="K10" s="25">
        <f>IFERROR(__xludf.DUMMYFUNCTION("""COMPUTED_VALUE"""),260.1)</f>
        <v>260.1</v>
      </c>
      <c r="L10" s="25">
        <f>IFERROR(__xludf.DUMMYFUNCTION("""COMPUTED_VALUE"""),253.06)</f>
        <v>253.06</v>
      </c>
      <c r="M10" s="25">
        <f>IFERROR(__xludf.DUMMYFUNCTION("""COMPUTED_VALUE"""),255.59)</f>
        <v>255.59</v>
      </c>
      <c r="N10" s="25">
        <f>IFERROR(__xludf.DUMMYFUNCTION("""COMPUTED_VALUE"""),1.33711783E8)</f>
        <v>133711783</v>
      </c>
      <c r="P10" s="32">
        <f>IFERROR(__xludf.DUMMYFUNCTION("""COMPUTED_VALUE"""),45653.66666666667)</f>
        <v>45653.66667</v>
      </c>
      <c r="Q10" s="25">
        <f>IFERROR(__xludf.DUMMYFUNCTION("""COMPUTED_VALUE"""),436.74)</f>
        <v>436.74</v>
      </c>
      <c r="R10" s="25">
        <f>IFERROR(__xludf.DUMMYFUNCTION("""COMPUTED_VALUE"""),440.94)</f>
        <v>440.94</v>
      </c>
      <c r="S10" s="25">
        <f>IFERROR(__xludf.DUMMYFUNCTION("""COMPUTED_VALUE"""),426.35)</f>
        <v>426.35</v>
      </c>
      <c r="T10" s="25">
        <f>IFERROR(__xludf.DUMMYFUNCTION("""COMPUTED_VALUE"""),430.53)</f>
        <v>430.53</v>
      </c>
      <c r="U10" s="25">
        <f>IFERROR(__xludf.DUMMYFUNCTION("""COMPUTED_VALUE"""),5.2634702E7)</f>
        <v>52634702</v>
      </c>
      <c r="W10" s="32">
        <f>IFERROR(__xludf.DUMMYFUNCTION("""COMPUTED_VALUE"""),45653.66666666667)</f>
        <v>45653.66667</v>
      </c>
      <c r="X10" s="25">
        <f>IFERROR(__xludf.DUMMYFUNCTION("""COMPUTED_VALUE"""),236.07)</f>
        <v>236.07</v>
      </c>
      <c r="Y10" s="25">
        <f>IFERROR(__xludf.DUMMYFUNCTION("""COMPUTED_VALUE"""),243.39)</f>
        <v>243.39</v>
      </c>
      <c r="Z10" s="25">
        <f>IFERROR(__xludf.DUMMYFUNCTION("""COMPUTED_VALUE"""),234.88)</f>
        <v>234.88</v>
      </c>
      <c r="AA10" s="25">
        <f>IFERROR(__xludf.DUMMYFUNCTION("""COMPUTED_VALUE"""),241.17)</f>
        <v>241.17</v>
      </c>
      <c r="AB10" s="25">
        <f>IFERROR(__xludf.DUMMYFUNCTION("""COMPUTED_VALUE"""),2.2523395E7)</f>
        <v>22523395</v>
      </c>
      <c r="AD10" s="32">
        <f>IFERROR(__xludf.DUMMYFUNCTION("""COMPUTED_VALUE"""),45653.66666666667)</f>
        <v>45653.66667</v>
      </c>
      <c r="AE10" s="25">
        <f>IFERROR(__xludf.DUMMYFUNCTION("""COMPUTED_VALUE"""),225.01)</f>
        <v>225.01</v>
      </c>
      <c r="AF10" s="25">
        <f>IFERROR(__xludf.DUMMYFUNCTION("""COMPUTED_VALUE"""),229.14)</f>
        <v>229.14</v>
      </c>
      <c r="AG10" s="25">
        <f>IFERROR(__xludf.DUMMYFUNCTION("""COMPUTED_VALUE"""),220.9)</f>
        <v>220.9</v>
      </c>
      <c r="AH10" s="25">
        <f>IFERROR(__xludf.DUMMYFUNCTION("""COMPUTED_VALUE"""),223.75)</f>
        <v>223.75</v>
      </c>
      <c r="AI10" s="25">
        <f>IFERROR(__xludf.DUMMYFUNCTION("""COMPUTED_VALUE"""),8.6619151E7)</f>
        <v>86619151</v>
      </c>
      <c r="AK10" s="32">
        <f>IFERROR(__xludf.DUMMYFUNCTION("""COMPUTED_VALUE"""),45653.66666666667)</f>
        <v>45653.66667</v>
      </c>
      <c r="AL10" s="25">
        <f>IFERROR(__xludf.DUMMYFUNCTION("""COMPUTED_VALUE"""),431.0)</f>
        <v>431</v>
      </c>
      <c r="AM10" s="25">
        <f>IFERROR(__xludf.DUMMYFUNCTION("""COMPUTED_VALUE"""),465.33)</f>
        <v>465.33</v>
      </c>
      <c r="AN10" s="25">
        <f>IFERROR(__xludf.DUMMYFUNCTION("""COMPUTED_VALUE"""),415.41)</f>
        <v>415.41</v>
      </c>
      <c r="AO10" s="25">
        <f>IFERROR(__xludf.DUMMYFUNCTION("""COMPUTED_VALUE"""),431.66)</f>
        <v>431.66</v>
      </c>
      <c r="AP10" s="25">
        <f>IFERROR(__xludf.DUMMYFUNCTION("""COMPUTED_VALUE"""),2.91567836E8)</f>
        <v>291567836</v>
      </c>
    </row>
    <row r="11">
      <c r="B11" s="27">
        <f>IFERROR(__xludf.DUMMYFUNCTION("""COMPUTED_VALUE"""),45660.66666666667)</f>
        <v>45660.66667</v>
      </c>
      <c r="C11" s="25">
        <f>IFERROR(__xludf.DUMMYFUNCTION("""COMPUTED_VALUE"""),190.87)</f>
        <v>190.87</v>
      </c>
      <c r="D11" s="25">
        <f>IFERROR(__xludf.DUMMYFUNCTION("""COMPUTED_VALUE"""),194.5)</f>
        <v>194.5</v>
      </c>
      <c r="E11" s="25">
        <f>IFERROR(__xludf.DUMMYFUNCTION("""COMPUTED_VALUE"""),188.71)</f>
        <v>188.71</v>
      </c>
      <c r="F11" s="25">
        <f>IFERROR(__xludf.DUMMYFUNCTION("""COMPUTED_VALUE"""),193.13)</f>
        <v>193.13</v>
      </c>
      <c r="G11" s="25">
        <f>IFERROR(__xludf.DUMMYFUNCTION("""COMPUTED_VALUE"""),5.6984874E7)</f>
        <v>56984874</v>
      </c>
      <c r="I11" s="32">
        <f>IFERROR(__xludf.DUMMYFUNCTION("""COMPUTED_VALUE"""),45660.66666666667)</f>
        <v>45660.66667</v>
      </c>
      <c r="J11" s="25">
        <f>IFERROR(__xludf.DUMMYFUNCTION("""COMPUTED_VALUE"""),252.23)</f>
        <v>252.23</v>
      </c>
      <c r="K11" s="25">
        <f>IFERROR(__xludf.DUMMYFUNCTION("""COMPUTED_VALUE"""),253.5)</f>
        <v>253.5</v>
      </c>
      <c r="L11" s="25">
        <f>IFERROR(__xludf.DUMMYFUNCTION("""COMPUTED_VALUE"""),241.82)</f>
        <v>241.82</v>
      </c>
      <c r="M11" s="25">
        <f>IFERROR(__xludf.DUMMYFUNCTION("""COMPUTED_VALUE"""),243.36)</f>
        <v>243.36</v>
      </c>
      <c r="N11" s="25">
        <f>IFERROR(__xludf.DUMMYFUNCTION("""COMPUTED_VALUE"""),1.71023105E8)</f>
        <v>171023105</v>
      </c>
      <c r="P11" s="32">
        <f>IFERROR(__xludf.DUMMYFUNCTION("""COMPUTED_VALUE"""),45660.66666666667)</f>
        <v>45660.66667</v>
      </c>
      <c r="Q11" s="25">
        <f>IFERROR(__xludf.DUMMYFUNCTION("""COMPUTED_VALUE"""),426.06)</f>
        <v>426.06</v>
      </c>
      <c r="R11" s="25">
        <f>IFERROR(__xludf.DUMMYFUNCTION("""COMPUTED_VALUE"""),427.55)</f>
        <v>427.55</v>
      </c>
      <c r="S11" s="25">
        <f>IFERROR(__xludf.DUMMYFUNCTION("""COMPUTED_VALUE"""),414.85)</f>
        <v>414.85</v>
      </c>
      <c r="T11" s="25">
        <f>IFERROR(__xludf.DUMMYFUNCTION("""COMPUTED_VALUE"""),423.35)</f>
        <v>423.35</v>
      </c>
      <c r="U11" s="25">
        <f>IFERROR(__xludf.DUMMYFUNCTION("""COMPUTED_VALUE"""),5.9964624E7)</f>
        <v>59964624</v>
      </c>
      <c r="W11" s="32">
        <f>IFERROR(__xludf.DUMMYFUNCTION("""COMPUTED_VALUE"""),45660.66666666667)</f>
        <v>45660.66667</v>
      </c>
      <c r="X11" s="25">
        <f>IFERROR(__xludf.DUMMYFUNCTION("""COMPUTED_VALUE"""),238.77)</f>
        <v>238.77</v>
      </c>
      <c r="Y11" s="25">
        <f>IFERROR(__xludf.DUMMYFUNCTION("""COMPUTED_VALUE"""),244.88)</f>
        <v>244.88</v>
      </c>
      <c r="Z11" s="25">
        <f>IFERROR(__xludf.DUMMYFUNCTION("""COMPUTED_VALUE"""),237.11)</f>
        <v>237.11</v>
      </c>
      <c r="AA11" s="25">
        <f>IFERROR(__xludf.DUMMYFUNCTION("""COMPUTED_VALUE"""),243.28)</f>
        <v>243.28</v>
      </c>
      <c r="AB11" s="25">
        <f>IFERROR(__xludf.DUMMYFUNCTION("""COMPUTED_VALUE"""),2.9306703E7)</f>
        <v>29306703</v>
      </c>
      <c r="AD11" s="32">
        <f>IFERROR(__xludf.DUMMYFUNCTION("""COMPUTED_VALUE"""),45660.66666666667)</f>
        <v>45660.66667</v>
      </c>
      <c r="AE11" s="25">
        <f>IFERROR(__xludf.DUMMYFUNCTION("""COMPUTED_VALUE"""),220.06)</f>
        <v>220.06</v>
      </c>
      <c r="AF11" s="25">
        <f>IFERROR(__xludf.DUMMYFUNCTION("""COMPUTED_VALUE"""),225.36)</f>
        <v>225.36</v>
      </c>
      <c r="AG11" s="25">
        <f>IFERROR(__xludf.DUMMYFUNCTION("""COMPUTED_VALUE"""),218.19)</f>
        <v>218.19</v>
      </c>
      <c r="AH11" s="25">
        <f>IFERROR(__xludf.DUMMYFUNCTION("""COMPUTED_VALUE"""),224.19)</f>
        <v>224.19</v>
      </c>
      <c r="AI11" s="25">
        <f>IFERROR(__xludf.DUMMYFUNCTION("""COMPUTED_VALUE"""),1.1461308E8)</f>
        <v>114613080</v>
      </c>
      <c r="AK11" s="32">
        <f>IFERROR(__xludf.DUMMYFUNCTION("""COMPUTED_VALUE"""),45660.66666666667)</f>
        <v>45660.66667</v>
      </c>
      <c r="AL11" s="25">
        <f>IFERROR(__xludf.DUMMYFUNCTION("""COMPUTED_VALUE"""),419.4)</f>
        <v>419.4</v>
      </c>
      <c r="AM11" s="25">
        <f>IFERROR(__xludf.DUMMYFUNCTION("""COMPUTED_VALUE"""),427.93)</f>
        <v>427.93</v>
      </c>
      <c r="AN11" s="25">
        <f>IFERROR(__xludf.DUMMYFUNCTION("""COMPUTED_VALUE"""),373.04)</f>
        <v>373.04</v>
      </c>
      <c r="AO11" s="25">
        <f>IFERROR(__xludf.DUMMYFUNCTION("""COMPUTED_VALUE"""),410.44)</f>
        <v>410.44</v>
      </c>
      <c r="AP11" s="25">
        <f>IFERROR(__xludf.DUMMYFUNCTION("""COMPUTED_VALUE"""),3.46900211E8)</f>
        <v>346900211</v>
      </c>
    </row>
    <row r="12">
      <c r="B12" s="27">
        <f>IFERROR(__xludf.DUMMYFUNCTION("""COMPUTED_VALUE"""),45667.66666666667)</f>
        <v>45667.66667</v>
      </c>
      <c r="C12" s="25">
        <f>IFERROR(__xludf.DUMMYFUNCTION("""COMPUTED_VALUE"""),195.15)</f>
        <v>195.15</v>
      </c>
      <c r="D12" s="25">
        <f>IFERROR(__xludf.DUMMYFUNCTION("""COMPUTED_VALUE"""),202.14)</f>
        <v>202.14</v>
      </c>
      <c r="E12" s="25">
        <f>IFERROR(__xludf.DUMMYFUNCTION("""COMPUTED_VALUE"""),191.6)</f>
        <v>191.6</v>
      </c>
      <c r="F12" s="25">
        <f>IFERROR(__xludf.DUMMYFUNCTION("""COMPUTED_VALUE"""),193.17)</f>
        <v>193.17</v>
      </c>
      <c r="G12" s="25">
        <f>IFERROR(__xludf.DUMMYFUNCTION("""COMPUTED_VALUE"""),7.1539218E7)</f>
        <v>71539218</v>
      </c>
      <c r="I12" s="32">
        <f>IFERROR(__xludf.DUMMYFUNCTION("""COMPUTED_VALUE"""),45667.66666666667)</f>
        <v>45667.66667</v>
      </c>
      <c r="J12" s="25">
        <f>IFERROR(__xludf.DUMMYFUNCTION("""COMPUTED_VALUE"""),244.31)</f>
        <v>244.31</v>
      </c>
      <c r="K12" s="25">
        <f>IFERROR(__xludf.DUMMYFUNCTION("""COMPUTED_VALUE"""),247.33)</f>
        <v>247.33</v>
      </c>
      <c r="L12" s="25">
        <f>IFERROR(__xludf.DUMMYFUNCTION("""COMPUTED_VALUE"""),233.0)</f>
        <v>233</v>
      </c>
      <c r="M12" s="25">
        <f>IFERROR(__xludf.DUMMYFUNCTION("""COMPUTED_VALUE"""),236.85)</f>
        <v>236.85</v>
      </c>
      <c r="N12" s="25">
        <f>IFERROR(__xludf.DUMMYFUNCTION("""COMPUTED_VALUE"""),1.85241327E8)</f>
        <v>185241327</v>
      </c>
      <c r="P12" s="32">
        <f>IFERROR(__xludf.DUMMYFUNCTION("""COMPUTED_VALUE"""),45667.66666666667)</f>
        <v>45667.66667</v>
      </c>
      <c r="Q12" s="25">
        <f>IFERROR(__xludf.DUMMYFUNCTION("""COMPUTED_VALUE"""),428.0)</f>
        <v>428</v>
      </c>
      <c r="R12" s="25">
        <f>IFERROR(__xludf.DUMMYFUNCTION("""COMPUTED_VALUE"""),434.32)</f>
        <v>434.32</v>
      </c>
      <c r="S12" s="25">
        <f>IFERROR(__xludf.DUMMYFUNCTION("""COMPUTED_VALUE"""),415.02)</f>
        <v>415.02</v>
      </c>
      <c r="T12" s="25">
        <f>IFERROR(__xludf.DUMMYFUNCTION("""COMPUTED_VALUE"""),418.95)</f>
        <v>418.95</v>
      </c>
      <c r="U12" s="25">
        <f>IFERROR(__xludf.DUMMYFUNCTION("""COMPUTED_VALUE"""),7.396842E7)</f>
        <v>73968420</v>
      </c>
      <c r="W12" s="32">
        <f>IFERROR(__xludf.DUMMYFUNCTION("""COMPUTED_VALUE"""),45667.66666666667)</f>
        <v>45667.66667</v>
      </c>
      <c r="X12" s="25">
        <f>IFERROR(__xludf.DUMMYFUNCTION("""COMPUTED_VALUE"""),243.7)</f>
        <v>243.7</v>
      </c>
      <c r="Y12" s="25">
        <f>IFERROR(__xludf.DUMMYFUNCTION("""COMPUTED_VALUE"""),245.69)</f>
        <v>245.69</v>
      </c>
      <c r="Z12" s="25">
        <f>IFERROR(__xludf.DUMMYFUNCTION("""COMPUTED_VALUE"""),238.74)</f>
        <v>238.74</v>
      </c>
      <c r="AA12" s="25">
        <f>IFERROR(__xludf.DUMMYFUNCTION("""COMPUTED_VALUE"""),239.87)</f>
        <v>239.87</v>
      </c>
      <c r="AB12" s="25">
        <f>IFERROR(__xludf.DUMMYFUNCTION("""COMPUTED_VALUE"""),3.7603306E7)</f>
        <v>37603306</v>
      </c>
      <c r="AD12" s="32">
        <f>IFERROR(__xludf.DUMMYFUNCTION("""COMPUTED_VALUE"""),45667.66666666667)</f>
        <v>45667.66667</v>
      </c>
      <c r="AE12" s="25">
        <f>IFERROR(__xludf.DUMMYFUNCTION("""COMPUTED_VALUE"""),226.78)</f>
        <v>226.78</v>
      </c>
      <c r="AF12" s="25">
        <f>IFERROR(__xludf.DUMMYFUNCTION("""COMPUTED_VALUE"""),228.84)</f>
        <v>228.84</v>
      </c>
      <c r="AG12" s="25">
        <f>IFERROR(__xludf.DUMMYFUNCTION("""COMPUTED_VALUE"""),216.5)</f>
        <v>216.5</v>
      </c>
      <c r="AH12" s="25">
        <f>IFERROR(__xludf.DUMMYFUNCTION("""COMPUTED_VALUE"""),218.94)</f>
        <v>218.94</v>
      </c>
      <c r="AI12" s="25">
        <f>IFERROR(__xludf.DUMMYFUNCTION("""COMPUTED_VALUE"""),1.21778812E8)</f>
        <v>121778812</v>
      </c>
      <c r="AK12" s="32">
        <f>IFERROR(__xludf.DUMMYFUNCTION("""COMPUTED_VALUE"""),45667.66666666667)</f>
        <v>45667.66667</v>
      </c>
      <c r="AL12" s="25">
        <f>IFERROR(__xludf.DUMMYFUNCTION("""COMPUTED_VALUE"""),423.2)</f>
        <v>423.2</v>
      </c>
      <c r="AM12" s="25">
        <f>IFERROR(__xludf.DUMMYFUNCTION("""COMPUTED_VALUE"""),426.43)</f>
        <v>426.43</v>
      </c>
      <c r="AN12" s="25">
        <f>IFERROR(__xludf.DUMMYFUNCTION("""COMPUTED_VALUE"""),377.29)</f>
        <v>377.29</v>
      </c>
      <c r="AO12" s="25">
        <f>IFERROR(__xludf.DUMMYFUNCTION("""COMPUTED_VALUE"""),394.74)</f>
        <v>394.74</v>
      </c>
      <c r="AP12" s="25">
        <f>IFERROR(__xludf.DUMMYFUNCTION("""COMPUTED_VALUE"""),2.96542197E8)</f>
        <v>296542197</v>
      </c>
    </row>
    <row r="13">
      <c r="B13" s="27">
        <f>IFERROR(__xludf.DUMMYFUNCTION("""COMPUTED_VALUE"""),45674.66666666667)</f>
        <v>45674.66667</v>
      </c>
      <c r="C13" s="25">
        <f>IFERROR(__xludf.DUMMYFUNCTION("""COMPUTED_VALUE"""),191.35)</f>
        <v>191.35</v>
      </c>
      <c r="D13" s="25">
        <f>IFERROR(__xludf.DUMMYFUNCTION("""COMPUTED_VALUE"""),198.81)</f>
        <v>198.81</v>
      </c>
      <c r="E13" s="25">
        <f>IFERROR(__xludf.DUMMYFUNCTION("""COMPUTED_VALUE"""),188.66)</f>
        <v>188.66</v>
      </c>
      <c r="F13" s="25">
        <f>IFERROR(__xludf.DUMMYFUNCTION("""COMPUTED_VALUE"""),197.55)</f>
        <v>197.55</v>
      </c>
      <c r="G13" s="25">
        <f>IFERROR(__xludf.DUMMYFUNCTION("""COMPUTED_VALUE"""),7.5273828E7)</f>
        <v>75273828</v>
      </c>
      <c r="I13" s="32">
        <f>IFERROR(__xludf.DUMMYFUNCTION("""COMPUTED_VALUE"""),45674.66666666667)</f>
        <v>45674.66667</v>
      </c>
      <c r="J13" s="25">
        <f>IFERROR(__xludf.DUMMYFUNCTION("""COMPUTED_VALUE"""),233.53)</f>
        <v>233.53</v>
      </c>
      <c r="K13" s="25">
        <f>IFERROR(__xludf.DUMMYFUNCTION("""COMPUTED_VALUE"""),238.96)</f>
        <v>238.96</v>
      </c>
      <c r="L13" s="25">
        <f>IFERROR(__xludf.DUMMYFUNCTION("""COMPUTED_VALUE"""),228.03)</f>
        <v>228.03</v>
      </c>
      <c r="M13" s="25">
        <f>IFERROR(__xludf.DUMMYFUNCTION("""COMPUTED_VALUE"""),229.98)</f>
        <v>229.98</v>
      </c>
      <c r="N13" s="25">
        <f>IFERROR(__xludf.DUMMYFUNCTION("""COMPUTED_VALUE"""),2.69145341E8)</f>
        <v>269145341</v>
      </c>
      <c r="P13" s="32">
        <f>IFERROR(__xludf.DUMMYFUNCTION("""COMPUTED_VALUE"""),45674.66666666667)</f>
        <v>45674.66667</v>
      </c>
      <c r="Q13" s="25">
        <f>IFERROR(__xludf.DUMMYFUNCTION("""COMPUTED_VALUE"""),415.24)</f>
        <v>415.24</v>
      </c>
      <c r="R13" s="25">
        <f>IFERROR(__xludf.DUMMYFUNCTION("""COMPUTED_VALUE"""),434.48)</f>
        <v>434.48</v>
      </c>
      <c r="S13" s="25">
        <f>IFERROR(__xludf.DUMMYFUNCTION("""COMPUTED_VALUE"""),410.72)</f>
        <v>410.72</v>
      </c>
      <c r="T13" s="25">
        <f>IFERROR(__xludf.DUMMYFUNCTION("""COMPUTED_VALUE"""),429.03)</f>
        <v>429.03</v>
      </c>
      <c r="U13" s="25">
        <f>IFERROR(__xludf.DUMMYFUNCTION("""COMPUTED_VALUE"""),9.5676004E7)</f>
        <v>95676004</v>
      </c>
      <c r="W13" s="32">
        <f>IFERROR(__xludf.DUMMYFUNCTION("""COMPUTED_VALUE"""),45674.66666666667)</f>
        <v>45674.66667</v>
      </c>
      <c r="X13" s="25">
        <f>IFERROR(__xludf.DUMMYFUNCTION("""COMPUTED_VALUE"""),239.67)</f>
        <v>239.67</v>
      </c>
      <c r="Y13" s="25">
        <f>IFERROR(__xludf.DUMMYFUNCTION("""COMPUTED_VALUE"""),260.62)</f>
        <v>260.62</v>
      </c>
      <c r="Z13" s="25">
        <f>IFERROR(__xludf.DUMMYFUNCTION("""COMPUTED_VALUE"""),239.0)</f>
        <v>239</v>
      </c>
      <c r="AA13" s="25">
        <f>IFERROR(__xludf.DUMMYFUNCTION("""COMPUTED_VALUE"""),259.16)</f>
        <v>259.16</v>
      </c>
      <c r="AB13" s="25">
        <f>IFERROR(__xludf.DUMMYFUNCTION("""COMPUTED_VALUE"""),7.383167E7)</f>
        <v>73831670</v>
      </c>
      <c r="AD13" s="32">
        <f>IFERROR(__xludf.DUMMYFUNCTION("""COMPUTED_VALUE"""),45674.66666666667)</f>
        <v>45674.66667</v>
      </c>
      <c r="AE13" s="25">
        <f>IFERROR(__xludf.DUMMYFUNCTION("""COMPUTED_VALUE"""),218.06)</f>
        <v>218.06</v>
      </c>
      <c r="AF13" s="25">
        <f>IFERROR(__xludf.DUMMYFUNCTION("""COMPUTED_VALUE"""),226.51)</f>
        <v>226.51</v>
      </c>
      <c r="AG13" s="25">
        <f>IFERROR(__xludf.DUMMYFUNCTION("""COMPUTED_VALUE"""),216.2)</f>
        <v>216.2</v>
      </c>
      <c r="AH13" s="25">
        <f>IFERROR(__xludf.DUMMYFUNCTION("""COMPUTED_VALUE"""),225.94)</f>
        <v>225.94</v>
      </c>
      <c r="AI13" s="25">
        <f>IFERROR(__xludf.DUMMYFUNCTION("""COMPUTED_VALUE"""),1.50392961E8)</f>
        <v>150392961</v>
      </c>
      <c r="AK13" s="32">
        <f>IFERROR(__xludf.DUMMYFUNCTION("""COMPUTED_VALUE"""),45674.66666666667)</f>
        <v>45674.66667</v>
      </c>
      <c r="AL13" s="25">
        <f>IFERROR(__xludf.DUMMYFUNCTION("""COMPUTED_VALUE"""),383.21)</f>
        <v>383.21</v>
      </c>
      <c r="AM13" s="25">
        <f>IFERROR(__xludf.DUMMYFUNCTION("""COMPUTED_VALUE"""),439.74)</f>
        <v>439.74</v>
      </c>
      <c r="AN13" s="25">
        <f>IFERROR(__xludf.DUMMYFUNCTION("""COMPUTED_VALUE"""),380.07)</f>
        <v>380.07</v>
      </c>
      <c r="AO13" s="25">
        <f>IFERROR(__xludf.DUMMYFUNCTION("""COMPUTED_VALUE"""),426.5)</f>
        <v>426.5</v>
      </c>
      <c r="AP13" s="25">
        <f>IFERROR(__xludf.DUMMYFUNCTION("""COMPUTED_VALUE"""),3.96847556E8)</f>
        <v>396847556</v>
      </c>
    </row>
    <row r="14">
      <c r="B14" s="27">
        <f>IFERROR(__xludf.DUMMYFUNCTION("""COMPUTED_VALUE"""),45681.66666666667)</f>
        <v>45681.66667</v>
      </c>
      <c r="C14" s="25">
        <f>IFERROR(__xludf.DUMMYFUNCTION("""COMPUTED_VALUE"""),200.51)</f>
        <v>200.51</v>
      </c>
      <c r="D14" s="25">
        <f>IFERROR(__xludf.DUMMYFUNCTION("""COMPUTED_VALUE"""),203.84)</f>
        <v>203.84</v>
      </c>
      <c r="E14" s="25">
        <f>IFERROR(__xludf.DUMMYFUNCTION("""COMPUTED_VALUE"""),196.82)</f>
        <v>196.82</v>
      </c>
      <c r="F14" s="25">
        <f>IFERROR(__xludf.DUMMYFUNCTION("""COMPUTED_VALUE"""),201.9)</f>
        <v>201.9</v>
      </c>
      <c r="G14" s="25">
        <f>IFERROR(__xludf.DUMMYFUNCTION("""COMPUTED_VALUE"""),6.2385822E7)</f>
        <v>62385822</v>
      </c>
      <c r="I14" s="32">
        <f>IFERROR(__xludf.DUMMYFUNCTION("""COMPUTED_VALUE"""),45681.66666666667)</f>
        <v>45681.66667</v>
      </c>
      <c r="J14" s="25">
        <f>IFERROR(__xludf.DUMMYFUNCTION("""COMPUTED_VALUE"""),224.0)</f>
        <v>224</v>
      </c>
      <c r="K14" s="25">
        <f>IFERROR(__xludf.DUMMYFUNCTION("""COMPUTED_VALUE"""),227.03)</f>
        <v>227.03</v>
      </c>
      <c r="L14" s="25">
        <f>IFERROR(__xludf.DUMMYFUNCTION("""COMPUTED_VALUE"""),219.38)</f>
        <v>219.38</v>
      </c>
      <c r="M14" s="25">
        <f>IFERROR(__xludf.DUMMYFUNCTION("""COMPUTED_VALUE"""),222.78)</f>
        <v>222.78</v>
      </c>
      <c r="N14" s="25">
        <f>IFERROR(__xludf.DUMMYFUNCTION("""COMPUTED_VALUE"""),2.77129596E8)</f>
        <v>277129596</v>
      </c>
      <c r="P14" s="32">
        <f>IFERROR(__xludf.DUMMYFUNCTION("""COMPUTED_VALUE"""),45681.66666666667)</f>
        <v>45681.66667</v>
      </c>
      <c r="Q14" s="25">
        <f>IFERROR(__xludf.DUMMYFUNCTION("""COMPUTED_VALUE"""),430.2)</f>
        <v>430.2</v>
      </c>
      <c r="R14" s="25">
        <f>IFERROR(__xludf.DUMMYFUNCTION("""COMPUTED_VALUE"""),447.27)</f>
        <v>447.27</v>
      </c>
      <c r="S14" s="25">
        <f>IFERROR(__xludf.DUMMYFUNCTION("""COMPUTED_VALUE"""),425.6)</f>
        <v>425.6</v>
      </c>
      <c r="T14" s="25">
        <f>IFERROR(__xludf.DUMMYFUNCTION("""COMPUTED_VALUE"""),444.06)</f>
        <v>444.06</v>
      </c>
      <c r="U14" s="25">
        <f>IFERROR(__xludf.DUMMYFUNCTION("""COMPUTED_VALUE"""),8.7828237E7)</f>
        <v>87828237</v>
      </c>
      <c r="W14" s="32">
        <f>IFERROR(__xludf.DUMMYFUNCTION("""COMPUTED_VALUE"""),45681.66666666667)</f>
        <v>45681.66667</v>
      </c>
      <c r="X14" s="25">
        <f>IFERROR(__xludf.DUMMYFUNCTION("""COMPUTED_VALUE"""),260.07)</f>
        <v>260.07</v>
      </c>
      <c r="Y14" s="25">
        <f>IFERROR(__xludf.DUMMYFUNCTION("""COMPUTED_VALUE"""),267.1)</f>
        <v>267.1</v>
      </c>
      <c r="Z14" s="25">
        <f>IFERROR(__xludf.DUMMYFUNCTION("""COMPUTED_VALUE"""),259.5)</f>
        <v>259.5</v>
      </c>
      <c r="AA14" s="25">
        <f>IFERROR(__xludf.DUMMYFUNCTION("""COMPUTED_VALUE"""),264.84)</f>
        <v>264.84</v>
      </c>
      <c r="AB14" s="25">
        <f>IFERROR(__xludf.DUMMYFUNCTION("""COMPUTED_VALUE"""),4.114997E7)</f>
        <v>41149970</v>
      </c>
      <c r="AD14" s="32">
        <f>IFERROR(__xludf.DUMMYFUNCTION("""COMPUTED_VALUE"""),45681.66666666667)</f>
        <v>45681.66667</v>
      </c>
      <c r="AE14" s="25">
        <f>IFERROR(__xludf.DUMMYFUNCTION("""COMPUTED_VALUE"""),228.9)</f>
        <v>228.9</v>
      </c>
      <c r="AF14" s="25">
        <f>IFERROR(__xludf.DUMMYFUNCTION("""COMPUTED_VALUE"""),236.4)</f>
        <v>236.4</v>
      </c>
      <c r="AG14" s="25">
        <f>IFERROR(__xludf.DUMMYFUNCTION("""COMPUTED_VALUE"""),226.94)</f>
        <v>226.94</v>
      </c>
      <c r="AH14" s="25">
        <f>IFERROR(__xludf.DUMMYFUNCTION("""COMPUTED_VALUE"""),234.85)</f>
        <v>234.85</v>
      </c>
      <c r="AI14" s="25">
        <f>IFERROR(__xludf.DUMMYFUNCTION("""COMPUTED_VALUE"""),1.33694775E8)</f>
        <v>133694775</v>
      </c>
      <c r="AK14" s="32">
        <f>IFERROR(__xludf.DUMMYFUNCTION("""COMPUTED_VALUE"""),45681.66666666667)</f>
        <v>45681.66667</v>
      </c>
      <c r="AL14" s="25">
        <f>IFERROR(__xludf.DUMMYFUNCTION("""COMPUTED_VALUE"""),432.64)</f>
        <v>432.64</v>
      </c>
      <c r="AM14" s="25">
        <f>IFERROR(__xludf.DUMMYFUNCTION("""COMPUTED_VALUE"""),433.2)</f>
        <v>433.2</v>
      </c>
      <c r="AN14" s="25">
        <f>IFERROR(__xludf.DUMMYFUNCTION("""COMPUTED_VALUE"""),405.78)</f>
        <v>405.78</v>
      </c>
      <c r="AO14" s="25">
        <f>IFERROR(__xludf.DUMMYFUNCTION("""COMPUTED_VALUE"""),406.58)</f>
        <v>406.58</v>
      </c>
      <c r="AP14" s="25">
        <f>IFERROR(__xludf.DUMMYFUNCTION("""COMPUTED_VALUE"""),2.55401977E8)</f>
        <v>255401977</v>
      </c>
    </row>
    <row r="15">
      <c r="B15" s="27">
        <f>IFERROR(__xludf.DUMMYFUNCTION("""COMPUTED_VALUE"""),45688.66666666667)</f>
        <v>45688.66667</v>
      </c>
      <c r="C15" s="25">
        <f>IFERROR(__xludf.DUMMYFUNCTION("""COMPUTED_VALUE"""),194.19)</f>
        <v>194.19</v>
      </c>
      <c r="D15" s="25">
        <f>IFERROR(__xludf.DUMMYFUNCTION("""COMPUTED_VALUE"""),207.08)</f>
        <v>207.08</v>
      </c>
      <c r="E15" s="25">
        <f>IFERROR(__xludf.DUMMYFUNCTION("""COMPUTED_VALUE"""),192.61)</f>
        <v>192.61</v>
      </c>
      <c r="F15" s="25">
        <f>IFERROR(__xludf.DUMMYFUNCTION("""COMPUTED_VALUE"""),205.6)</f>
        <v>205.6</v>
      </c>
      <c r="G15" s="25">
        <f>IFERROR(__xludf.DUMMYFUNCTION("""COMPUTED_VALUE"""),8.4855966E7)</f>
        <v>84855966</v>
      </c>
      <c r="I15" s="32">
        <f>IFERROR(__xludf.DUMMYFUNCTION("""COMPUTED_VALUE"""),45688.66666666667)</f>
        <v>45688.66667</v>
      </c>
      <c r="J15" s="25">
        <f>IFERROR(__xludf.DUMMYFUNCTION("""COMPUTED_VALUE"""),224.02)</f>
        <v>224.02</v>
      </c>
      <c r="K15" s="25">
        <f>IFERROR(__xludf.DUMMYFUNCTION("""COMPUTED_VALUE"""),247.19)</f>
        <v>247.19</v>
      </c>
      <c r="L15" s="25">
        <f>IFERROR(__xludf.DUMMYFUNCTION("""COMPUTED_VALUE"""),223.98)</f>
        <v>223.98</v>
      </c>
      <c r="M15" s="25">
        <f>IFERROR(__xludf.DUMMYFUNCTION("""COMPUTED_VALUE"""),236.0)</f>
        <v>236</v>
      </c>
      <c r="N15" s="25">
        <f>IFERROR(__xludf.DUMMYFUNCTION("""COMPUTED_VALUE"""),3.72790494E8)</f>
        <v>372790494</v>
      </c>
      <c r="P15" s="32">
        <f>IFERROR(__xludf.DUMMYFUNCTION("""COMPUTED_VALUE"""),45688.66666666667)</f>
        <v>45688.66667</v>
      </c>
      <c r="Q15" s="25">
        <f>IFERROR(__xludf.DUMMYFUNCTION("""COMPUTED_VALUE"""),424.01)</f>
        <v>424.01</v>
      </c>
      <c r="R15" s="25">
        <f>IFERROR(__xludf.DUMMYFUNCTION("""COMPUTED_VALUE"""),448.38)</f>
        <v>448.38</v>
      </c>
      <c r="S15" s="25">
        <f>IFERROR(__xludf.DUMMYFUNCTION("""COMPUTED_VALUE"""),413.16)</f>
        <v>413.16</v>
      </c>
      <c r="T15" s="25">
        <f>IFERROR(__xludf.DUMMYFUNCTION("""COMPUTED_VALUE"""),415.06)</f>
        <v>415.06</v>
      </c>
      <c r="U15" s="25">
        <f>IFERROR(__xludf.DUMMYFUNCTION("""COMPUTED_VALUE"""),1.71530526E8)</f>
        <v>171530526</v>
      </c>
      <c r="W15" s="32">
        <f>IFERROR(__xludf.DUMMYFUNCTION("""COMPUTED_VALUE"""),45688.66666666667)</f>
        <v>45688.66667</v>
      </c>
      <c r="X15" s="25">
        <f>IFERROR(__xludf.DUMMYFUNCTION("""COMPUTED_VALUE"""),264.17)</f>
        <v>264.17</v>
      </c>
      <c r="Y15" s="25">
        <f>IFERROR(__xludf.DUMMYFUNCTION("""COMPUTED_VALUE"""),270.82)</f>
        <v>270.82</v>
      </c>
      <c r="Z15" s="25">
        <f>IFERROR(__xludf.DUMMYFUNCTION("""COMPUTED_VALUE"""),262.26)</f>
        <v>262.26</v>
      </c>
      <c r="AA15" s="25">
        <f>IFERROR(__xludf.DUMMYFUNCTION("""COMPUTED_VALUE"""),267.3)</f>
        <v>267.3</v>
      </c>
      <c r="AB15" s="25">
        <f>IFERROR(__xludf.DUMMYFUNCTION("""COMPUTED_VALUE"""),3.8532253E7)</f>
        <v>38532253</v>
      </c>
      <c r="AD15" s="32">
        <f>IFERROR(__xludf.DUMMYFUNCTION("""COMPUTED_VALUE"""),45688.66666666667)</f>
        <v>45688.66667</v>
      </c>
      <c r="AE15" s="25">
        <f>IFERROR(__xludf.DUMMYFUNCTION("""COMPUTED_VALUE"""),226.21)</f>
        <v>226.21</v>
      </c>
      <c r="AF15" s="25">
        <f>IFERROR(__xludf.DUMMYFUNCTION("""COMPUTED_VALUE"""),241.77)</f>
        <v>241.77</v>
      </c>
      <c r="AG15" s="25">
        <f>IFERROR(__xludf.DUMMYFUNCTION("""COMPUTED_VALUE"""),225.86)</f>
        <v>225.86</v>
      </c>
      <c r="AH15" s="25">
        <f>IFERROR(__xludf.DUMMYFUNCTION("""COMPUTED_VALUE"""),237.68)</f>
        <v>237.68</v>
      </c>
      <c r="AI15" s="25">
        <f>IFERROR(__xludf.DUMMYFUNCTION("""COMPUTED_VALUE"""),1.85290341E8)</f>
        <v>185290341</v>
      </c>
      <c r="AK15" s="32">
        <f>IFERROR(__xludf.DUMMYFUNCTION("""COMPUTED_VALUE"""),45688.66666666667)</f>
        <v>45688.66667</v>
      </c>
      <c r="AL15" s="25">
        <f>IFERROR(__xludf.DUMMYFUNCTION("""COMPUTED_VALUE"""),394.8)</f>
        <v>394.8</v>
      </c>
      <c r="AM15" s="25">
        <f>IFERROR(__xludf.DUMMYFUNCTION("""COMPUTED_VALUE"""),419.99)</f>
        <v>419.99</v>
      </c>
      <c r="AN15" s="25">
        <f>IFERROR(__xludf.DUMMYFUNCTION("""COMPUTED_VALUE"""),384.41)</f>
        <v>384.41</v>
      </c>
      <c r="AO15" s="25">
        <f>IFERROR(__xludf.DUMMYFUNCTION("""COMPUTED_VALUE"""),404.6)</f>
        <v>404.6</v>
      </c>
      <c r="AP15" s="25">
        <f>IFERROR(__xludf.DUMMYFUNCTION("""COMPUTED_VALUE"""),3.56730932E8)</f>
        <v>356730932</v>
      </c>
    </row>
    <row r="16">
      <c r="B16" s="27">
        <f>IFERROR(__xludf.DUMMYFUNCTION("""COMPUTED_VALUE"""),45695.66666666667)</f>
        <v>45695.66667</v>
      </c>
      <c r="C16" s="25">
        <f>IFERROR(__xludf.DUMMYFUNCTION("""COMPUTED_VALUE"""),202.22)</f>
        <v>202.22</v>
      </c>
      <c r="D16" s="25">
        <f>IFERROR(__xludf.DUMMYFUNCTION("""COMPUTED_VALUE"""),208.7)</f>
        <v>208.7</v>
      </c>
      <c r="E16" s="25">
        <f>IFERROR(__xludf.DUMMYFUNCTION("""COMPUTED_VALUE"""),185.1)</f>
        <v>185.1</v>
      </c>
      <c r="F16" s="25">
        <f>IFERROR(__xludf.DUMMYFUNCTION("""COMPUTED_VALUE"""),187.14)</f>
        <v>187.14</v>
      </c>
      <c r="G16" s="25">
        <f>IFERROR(__xludf.DUMMYFUNCTION("""COMPUTED_VALUE"""),1.39106811E8)</f>
        <v>139106811</v>
      </c>
      <c r="I16" s="32">
        <f>IFERROR(__xludf.DUMMYFUNCTION("""COMPUTED_VALUE"""),45695.66666666667)</f>
        <v>45695.66667</v>
      </c>
      <c r="J16" s="25">
        <f>IFERROR(__xludf.DUMMYFUNCTION("""COMPUTED_VALUE"""),229.99)</f>
        <v>229.99</v>
      </c>
      <c r="K16" s="25">
        <f>IFERROR(__xludf.DUMMYFUNCTION("""COMPUTED_VALUE"""),234.0)</f>
        <v>234</v>
      </c>
      <c r="L16" s="25">
        <f>IFERROR(__xludf.DUMMYFUNCTION("""COMPUTED_VALUE"""),225.7)</f>
        <v>225.7</v>
      </c>
      <c r="M16" s="25">
        <f>IFERROR(__xludf.DUMMYFUNCTION("""COMPUTED_VALUE"""),227.63)</f>
        <v>227.63</v>
      </c>
      <c r="N16" s="25">
        <f>IFERROR(__xludf.DUMMYFUNCTION("""COMPUTED_VALUE"""),2.27428164E8)</f>
        <v>227428164</v>
      </c>
      <c r="P16" s="32">
        <f>IFERROR(__xludf.DUMMYFUNCTION("""COMPUTED_VALUE"""),45695.66666666667)</f>
        <v>45695.66667</v>
      </c>
      <c r="Q16" s="25">
        <f>IFERROR(__xludf.DUMMYFUNCTION("""COMPUTED_VALUE"""),411.6)</f>
        <v>411.6</v>
      </c>
      <c r="R16" s="25">
        <f>IFERROR(__xludf.DUMMYFUNCTION("""COMPUTED_VALUE"""),418.65)</f>
        <v>418.65</v>
      </c>
      <c r="S16" s="25">
        <f>IFERROR(__xludf.DUMMYFUNCTION("""COMPUTED_VALUE"""),408.1)</f>
        <v>408.1</v>
      </c>
      <c r="T16" s="25">
        <f>IFERROR(__xludf.DUMMYFUNCTION("""COMPUTED_VALUE"""),409.75)</f>
        <v>409.75</v>
      </c>
      <c r="U16" s="25">
        <f>IFERROR(__xludf.DUMMYFUNCTION("""COMPUTED_VALUE"""),1.01744032E8)</f>
        <v>101744032</v>
      </c>
      <c r="W16" s="32">
        <f>IFERROR(__xludf.DUMMYFUNCTION("""COMPUTED_VALUE"""),45695.66666666667)</f>
        <v>45695.66667</v>
      </c>
      <c r="X16" s="25">
        <f>IFERROR(__xludf.DUMMYFUNCTION("""COMPUTED_VALUE"""),261.83)</f>
        <v>261.83</v>
      </c>
      <c r="Y16" s="25">
        <f>IFERROR(__xludf.DUMMYFUNCTION("""COMPUTED_VALUE"""),278.55)</f>
        <v>278.55</v>
      </c>
      <c r="Z16" s="25">
        <f>IFERROR(__xludf.DUMMYFUNCTION("""COMPUTED_VALUE"""),261.7)</f>
        <v>261.7</v>
      </c>
      <c r="AA16" s="25">
        <f>IFERROR(__xludf.DUMMYFUNCTION("""COMPUTED_VALUE"""),275.8)</f>
        <v>275.8</v>
      </c>
      <c r="AB16" s="25">
        <f>IFERROR(__xludf.DUMMYFUNCTION("""COMPUTED_VALUE"""),3.383401E7)</f>
        <v>33834010</v>
      </c>
      <c r="AD16" s="32">
        <f>IFERROR(__xludf.DUMMYFUNCTION("""COMPUTED_VALUE"""),45695.66666666667)</f>
        <v>45695.66667</v>
      </c>
      <c r="AE16" s="25">
        <f>IFERROR(__xludf.DUMMYFUNCTION("""COMPUTED_VALUE"""),234.06)</f>
        <v>234.06</v>
      </c>
      <c r="AF16" s="25">
        <f>IFERROR(__xludf.DUMMYFUNCTION("""COMPUTED_VALUE"""),242.52)</f>
        <v>242.52</v>
      </c>
      <c r="AG16" s="25">
        <f>IFERROR(__xludf.DUMMYFUNCTION("""COMPUTED_VALUE"""),228.06)</f>
        <v>228.06</v>
      </c>
      <c r="AH16" s="25">
        <f>IFERROR(__xludf.DUMMYFUNCTION("""COMPUTED_VALUE"""),229.15)</f>
        <v>229.15</v>
      </c>
      <c r="AI16" s="25">
        <f>IFERROR(__xludf.DUMMYFUNCTION("""COMPUTED_VALUE"""),2.44268093E8)</f>
        <v>244268093</v>
      </c>
      <c r="AK16" s="32">
        <f>IFERROR(__xludf.DUMMYFUNCTION("""COMPUTED_VALUE"""),45695.66666666667)</f>
        <v>45695.66667</v>
      </c>
      <c r="AL16" s="25">
        <f>IFERROR(__xludf.DUMMYFUNCTION("""COMPUTED_VALUE"""),386.68)</f>
        <v>386.68</v>
      </c>
      <c r="AM16" s="25">
        <f>IFERROR(__xludf.DUMMYFUNCTION("""COMPUTED_VALUE"""),394.0)</f>
        <v>394</v>
      </c>
      <c r="AN16" s="25">
        <f>IFERROR(__xludf.DUMMYFUNCTION("""COMPUTED_VALUE"""),360.34)</f>
        <v>360.34</v>
      </c>
      <c r="AO16" s="25">
        <f>IFERROR(__xludf.DUMMYFUNCTION("""COMPUTED_VALUE"""),361.62)</f>
        <v>361.62</v>
      </c>
      <c r="AP16" s="25">
        <f>IFERROR(__xludf.DUMMYFUNCTION("""COMPUTED_VALUE"""),3.56635566E8)</f>
        <v>356635566</v>
      </c>
    </row>
    <row r="17">
      <c r="B17" s="27">
        <f>IFERROR(__xludf.DUMMYFUNCTION("""COMPUTED_VALUE"""),45702.66666666667)</f>
        <v>45702.66667</v>
      </c>
      <c r="C17" s="25">
        <f>IFERROR(__xludf.DUMMYFUNCTION("""COMPUTED_VALUE"""),189.06)</f>
        <v>189.06</v>
      </c>
      <c r="D17" s="25">
        <f>IFERROR(__xludf.DUMMYFUNCTION("""COMPUTED_VALUE"""),189.99)</f>
        <v>189.99</v>
      </c>
      <c r="E17" s="25">
        <f>IFERROR(__xludf.DUMMYFUNCTION("""COMPUTED_VALUE"""),183.63)</f>
        <v>183.63</v>
      </c>
      <c r="F17" s="25">
        <f>IFERROR(__xludf.DUMMYFUNCTION("""COMPUTED_VALUE"""),186.87)</f>
        <v>186.87</v>
      </c>
      <c r="G17" s="25">
        <f>IFERROR(__xludf.DUMMYFUNCTION("""COMPUTED_VALUE"""),7.2709922E7)</f>
        <v>72709922</v>
      </c>
      <c r="I17" s="32">
        <f>IFERROR(__xludf.DUMMYFUNCTION("""COMPUTED_VALUE"""),45702.66666666667)</f>
        <v>45702.66667</v>
      </c>
      <c r="J17" s="25">
        <f>IFERROR(__xludf.DUMMYFUNCTION("""COMPUTED_VALUE"""),229.57)</f>
        <v>229.57</v>
      </c>
      <c r="K17" s="25">
        <f>IFERROR(__xludf.DUMMYFUNCTION("""COMPUTED_VALUE"""),245.55)</f>
        <v>245.55</v>
      </c>
      <c r="L17" s="25">
        <f>IFERROR(__xludf.DUMMYFUNCTION("""COMPUTED_VALUE"""),227.2)</f>
        <v>227.2</v>
      </c>
      <c r="M17" s="25">
        <f>IFERROR(__xludf.DUMMYFUNCTION("""COMPUTED_VALUE"""),244.6)</f>
        <v>244.6</v>
      </c>
      <c r="N17" s="25">
        <f>IFERROR(__xludf.DUMMYFUNCTION("""COMPUTED_VALUE"""),2.2658758E8)</f>
        <v>226587580</v>
      </c>
      <c r="P17" s="32">
        <f>IFERROR(__xludf.DUMMYFUNCTION("""COMPUTED_VALUE"""),45702.66666666667)</f>
        <v>45702.66667</v>
      </c>
      <c r="Q17" s="25">
        <f>IFERROR(__xludf.DUMMYFUNCTION("""COMPUTED_VALUE"""),413.71)</f>
        <v>413.71</v>
      </c>
      <c r="R17" s="25">
        <f>IFERROR(__xludf.DUMMYFUNCTION("""COMPUTED_VALUE"""),415.46)</f>
        <v>415.46</v>
      </c>
      <c r="S17" s="25">
        <f>IFERROR(__xludf.DUMMYFUNCTION("""COMPUTED_VALUE"""),404.37)</f>
        <v>404.37</v>
      </c>
      <c r="T17" s="25">
        <f>IFERROR(__xludf.DUMMYFUNCTION("""COMPUTED_VALUE"""),408.43)</f>
        <v>408.43</v>
      </c>
      <c r="U17" s="25">
        <f>IFERROR(__xludf.DUMMYFUNCTION("""COMPUTED_VALUE"""),1.0473044E8)</f>
        <v>104730440</v>
      </c>
      <c r="W17" s="32">
        <f>IFERROR(__xludf.DUMMYFUNCTION("""COMPUTED_VALUE"""),45702.66666666667)</f>
        <v>45702.66667</v>
      </c>
      <c r="X17" s="25">
        <f>IFERROR(__xludf.DUMMYFUNCTION("""COMPUTED_VALUE"""),276.15)</f>
        <v>276.15</v>
      </c>
      <c r="Y17" s="25">
        <f>IFERROR(__xludf.DUMMYFUNCTION("""COMPUTED_VALUE"""),279.23)</f>
        <v>279.23</v>
      </c>
      <c r="Z17" s="25">
        <f>IFERROR(__xludf.DUMMYFUNCTION("""COMPUTED_VALUE"""),269.59)</f>
        <v>269.59</v>
      </c>
      <c r="AA17" s="25">
        <f>IFERROR(__xludf.DUMMYFUNCTION("""COMPUTED_VALUE"""),276.59)</f>
        <v>276.59</v>
      </c>
      <c r="AB17" s="25">
        <f>IFERROR(__xludf.DUMMYFUNCTION("""COMPUTED_VALUE"""),3.6594916E7)</f>
        <v>36594916</v>
      </c>
      <c r="AD17" s="32">
        <f>IFERROR(__xludf.DUMMYFUNCTION("""COMPUTED_VALUE"""),45702.66666666667)</f>
        <v>45702.66667</v>
      </c>
      <c r="AE17" s="25">
        <f>IFERROR(__xludf.DUMMYFUNCTION("""COMPUTED_VALUE"""),230.55)</f>
        <v>230.55</v>
      </c>
      <c r="AF17" s="25">
        <f>IFERROR(__xludf.DUMMYFUNCTION("""COMPUTED_VALUE"""),233.92)</f>
        <v>233.92</v>
      </c>
      <c r="AG17" s="25">
        <f>IFERROR(__xludf.DUMMYFUNCTION("""COMPUTED_VALUE"""),227.23)</f>
        <v>227.23</v>
      </c>
      <c r="AH17" s="25">
        <f>IFERROR(__xludf.DUMMYFUNCTION("""COMPUTED_VALUE"""),228.68)</f>
        <v>228.68</v>
      </c>
      <c r="AI17" s="25">
        <f>IFERROR(__xludf.DUMMYFUNCTION("""COMPUTED_VALUE"""),1.49796497E8)</f>
        <v>149796497</v>
      </c>
      <c r="AK17" s="32">
        <f>IFERROR(__xludf.DUMMYFUNCTION("""COMPUTED_VALUE"""),45702.66666666667)</f>
        <v>45702.66667</v>
      </c>
      <c r="AL17" s="25">
        <f>IFERROR(__xludf.DUMMYFUNCTION("""COMPUTED_VALUE"""),356.21)</f>
        <v>356.21</v>
      </c>
      <c r="AM17" s="25">
        <f>IFERROR(__xludf.DUMMYFUNCTION("""COMPUTED_VALUE"""),362.7)</f>
        <v>362.7</v>
      </c>
      <c r="AN17" s="25">
        <f>IFERROR(__xludf.DUMMYFUNCTION("""COMPUTED_VALUE"""),325.1)</f>
        <v>325.1</v>
      </c>
      <c r="AO17" s="25">
        <f>IFERROR(__xludf.DUMMYFUNCTION("""COMPUTED_VALUE"""),355.84)</f>
        <v>355.84</v>
      </c>
      <c r="AP17" s="25">
        <f>IFERROR(__xludf.DUMMYFUNCTION("""COMPUTED_VALUE"""),4.5915983E8)</f>
        <v>459159830</v>
      </c>
    </row>
    <row r="18">
      <c r="B18" s="27">
        <f>IFERROR(__xludf.DUMMYFUNCTION("""COMPUTED_VALUE"""),45709.66666666667)</f>
        <v>45709.66667</v>
      </c>
      <c r="C18" s="25">
        <f>IFERROR(__xludf.DUMMYFUNCTION("""COMPUTED_VALUE"""),187.44)</f>
        <v>187.44</v>
      </c>
      <c r="D18" s="25">
        <f>IFERROR(__xludf.DUMMYFUNCTION("""COMPUTED_VALUE"""),187.78)</f>
        <v>187.78</v>
      </c>
      <c r="E18" s="25">
        <f>IFERROR(__xludf.DUMMYFUNCTION("""COMPUTED_VALUE"""),181.13)</f>
        <v>181.13</v>
      </c>
      <c r="F18" s="25">
        <f>IFERROR(__xludf.DUMMYFUNCTION("""COMPUTED_VALUE"""),181.58)</f>
        <v>181.58</v>
      </c>
      <c r="G18" s="25">
        <f>IFERROR(__xludf.DUMMYFUNCTION("""COMPUTED_VALUE"""),6.4501082E7)</f>
        <v>64501082</v>
      </c>
      <c r="I18" s="32">
        <f>IFERROR(__xludf.DUMMYFUNCTION("""COMPUTED_VALUE"""),45709.66666666667)</f>
        <v>45709.66667</v>
      </c>
      <c r="J18" s="25">
        <f>IFERROR(__xludf.DUMMYFUNCTION("""COMPUTED_VALUE"""),244.15)</f>
        <v>244.15</v>
      </c>
      <c r="K18" s="25">
        <f>IFERROR(__xludf.DUMMYFUNCTION("""COMPUTED_VALUE"""),248.69)</f>
        <v>248.69</v>
      </c>
      <c r="L18" s="25">
        <f>IFERROR(__xludf.DUMMYFUNCTION("""COMPUTED_VALUE"""),241.84)</f>
        <v>241.84</v>
      </c>
      <c r="M18" s="25">
        <f>IFERROR(__xludf.DUMMYFUNCTION("""COMPUTED_VALUE"""),245.55)</f>
        <v>245.55</v>
      </c>
      <c r="N18" s="25">
        <f>IFERROR(__xludf.DUMMYFUNCTION("""COMPUTED_VALUE"""),1.66541044E8)</f>
        <v>166541044</v>
      </c>
      <c r="P18" s="32">
        <f>IFERROR(__xludf.DUMMYFUNCTION("""COMPUTED_VALUE"""),45709.66666666667)</f>
        <v>45709.66667</v>
      </c>
      <c r="Q18" s="25">
        <f>IFERROR(__xludf.DUMMYFUNCTION("""COMPUTED_VALUE"""),408.0)</f>
        <v>408</v>
      </c>
      <c r="R18" s="25">
        <f>IFERROR(__xludf.DUMMYFUNCTION("""COMPUTED_VALUE"""),419.31)</f>
        <v>419.31</v>
      </c>
      <c r="S18" s="25">
        <f>IFERROR(__xludf.DUMMYFUNCTION("""COMPUTED_VALUE"""),406.5)</f>
        <v>406.5</v>
      </c>
      <c r="T18" s="25">
        <f>IFERROR(__xludf.DUMMYFUNCTION("""COMPUTED_VALUE"""),408.21)</f>
        <v>408.21</v>
      </c>
      <c r="U18" s="25">
        <f>IFERROR(__xludf.DUMMYFUNCTION("""COMPUTED_VALUE"""),9.6570775E7)</f>
        <v>96570775</v>
      </c>
      <c r="W18" s="32">
        <f>IFERROR(__xludf.DUMMYFUNCTION("""COMPUTED_VALUE"""),45709.66666666667)</f>
        <v>45709.66667</v>
      </c>
      <c r="X18" s="25">
        <f>IFERROR(__xludf.DUMMYFUNCTION("""COMPUTED_VALUE"""),277.57)</f>
        <v>277.57</v>
      </c>
      <c r="Y18" s="25">
        <f>IFERROR(__xludf.DUMMYFUNCTION("""COMPUTED_VALUE"""),280.25)</f>
        <v>280.25</v>
      </c>
      <c r="Z18" s="25">
        <f>IFERROR(__xludf.DUMMYFUNCTION("""COMPUTED_VALUE"""),262.84)</f>
        <v>262.84</v>
      </c>
      <c r="AA18" s="25">
        <f>IFERROR(__xludf.DUMMYFUNCTION("""COMPUTED_VALUE"""),264.24)</f>
        <v>264.24</v>
      </c>
      <c r="AB18" s="25">
        <f>IFERROR(__xludf.DUMMYFUNCTION("""COMPUTED_VALUE"""),4.1609283E7)</f>
        <v>41609283</v>
      </c>
      <c r="AD18" s="32">
        <f>IFERROR(__xludf.DUMMYFUNCTION("""COMPUTED_VALUE"""),45709.66666666667)</f>
        <v>45709.66667</v>
      </c>
      <c r="AE18" s="25">
        <f>IFERROR(__xludf.DUMMYFUNCTION("""COMPUTED_VALUE"""),228.82)</f>
        <v>228.82</v>
      </c>
      <c r="AF18" s="25">
        <f>IFERROR(__xludf.DUMMYFUNCTION("""COMPUTED_VALUE"""),229.3)</f>
        <v>229.3</v>
      </c>
      <c r="AG18" s="25">
        <f>IFERROR(__xludf.DUMMYFUNCTION("""COMPUTED_VALUE"""),214.74)</f>
        <v>214.74</v>
      </c>
      <c r="AH18" s="25">
        <f>IFERROR(__xludf.DUMMYFUNCTION("""COMPUTED_VALUE"""),216.58)</f>
        <v>216.58</v>
      </c>
      <c r="AI18" s="25">
        <f>IFERROR(__xludf.DUMMYFUNCTION("""COMPUTED_VALUE"""),1.56867357E8)</f>
        <v>156867357</v>
      </c>
      <c r="AK18" s="32">
        <f>IFERROR(__xludf.DUMMYFUNCTION("""COMPUTED_VALUE"""),45709.66666666667)</f>
        <v>45709.66667</v>
      </c>
      <c r="AL18" s="25">
        <f>IFERROR(__xludf.DUMMYFUNCTION("""COMPUTED_VALUE"""),355.01)</f>
        <v>355.01</v>
      </c>
      <c r="AM18" s="25">
        <f>IFERROR(__xludf.DUMMYFUNCTION("""COMPUTED_VALUE"""),367.34)</f>
        <v>367.34</v>
      </c>
      <c r="AN18" s="25">
        <f>IFERROR(__xludf.DUMMYFUNCTION("""COMPUTED_VALUE"""),334.42)</f>
        <v>334.42</v>
      </c>
      <c r="AO18" s="25">
        <f>IFERROR(__xludf.DUMMYFUNCTION("""COMPUTED_VALUE"""),337.8)</f>
        <v>337.8</v>
      </c>
      <c r="AP18" s="25">
        <f>IFERROR(__xludf.DUMMYFUNCTION("""COMPUTED_VALUE"""),2.38750078E8)</f>
        <v>238750078</v>
      </c>
    </row>
    <row r="19">
      <c r="B19" s="27">
        <f>IFERROR(__xludf.DUMMYFUNCTION("""COMPUTED_VALUE"""),45716.66666666667)</f>
        <v>45716.66667</v>
      </c>
      <c r="C19" s="25">
        <f>IFERROR(__xludf.DUMMYFUNCTION("""COMPUTED_VALUE"""),183.8)</f>
        <v>183.8</v>
      </c>
      <c r="D19" s="25">
        <f>IFERROR(__xludf.DUMMYFUNCTION("""COMPUTED_VALUE"""),185.09)</f>
        <v>185.09</v>
      </c>
      <c r="E19" s="25">
        <f>IFERROR(__xludf.DUMMYFUNCTION("""COMPUTED_VALUE"""),168.39)</f>
        <v>168.39</v>
      </c>
      <c r="F19" s="25">
        <f>IFERROR(__xludf.DUMMYFUNCTION("""COMPUTED_VALUE"""),172.22)</f>
        <v>172.22</v>
      </c>
      <c r="G19" s="25">
        <f>IFERROR(__xludf.DUMMYFUNCTION("""COMPUTED_VALUE"""),1.19240092E8)</f>
        <v>119240092</v>
      </c>
      <c r="I19" s="32">
        <f>IFERROR(__xludf.DUMMYFUNCTION("""COMPUTED_VALUE"""),45716.66666666667)</f>
        <v>45716.66667</v>
      </c>
      <c r="J19" s="25">
        <f>IFERROR(__xludf.DUMMYFUNCTION("""COMPUTED_VALUE"""),244.93)</f>
        <v>244.93</v>
      </c>
      <c r="K19" s="25">
        <f>IFERROR(__xludf.DUMMYFUNCTION("""COMPUTED_VALUE"""),250.0)</f>
        <v>250</v>
      </c>
      <c r="L19" s="25">
        <f>IFERROR(__xludf.DUMMYFUNCTION("""COMPUTED_VALUE"""),230.2)</f>
        <v>230.2</v>
      </c>
      <c r="M19" s="25">
        <f>IFERROR(__xludf.DUMMYFUNCTION("""COMPUTED_VALUE"""),241.84)</f>
        <v>241.84</v>
      </c>
      <c r="N19" s="25">
        <f>IFERROR(__xludf.DUMMYFUNCTION("""COMPUTED_VALUE"""),2.41760231E8)</f>
        <v>241760231</v>
      </c>
      <c r="P19" s="32">
        <f>IFERROR(__xludf.DUMMYFUNCTION("""COMPUTED_VALUE"""),45716.66666666667)</f>
        <v>45716.66667</v>
      </c>
      <c r="Q19" s="25">
        <f>IFERROR(__xludf.DUMMYFUNCTION("""COMPUTED_VALUE"""),408.51)</f>
        <v>408.51</v>
      </c>
      <c r="R19" s="25">
        <f>IFERROR(__xludf.DUMMYFUNCTION("""COMPUTED_VALUE"""),409.37)</f>
        <v>409.37</v>
      </c>
      <c r="S19" s="25">
        <f>IFERROR(__xludf.DUMMYFUNCTION("""COMPUTED_VALUE"""),386.57)</f>
        <v>386.57</v>
      </c>
      <c r="T19" s="25">
        <f>IFERROR(__xludf.DUMMYFUNCTION("""COMPUTED_VALUE"""),396.99)</f>
        <v>396.99</v>
      </c>
      <c r="U19" s="25">
        <f>IFERROR(__xludf.DUMMYFUNCTION("""COMPUTED_VALUE"""),1.29423076E8)</f>
        <v>129423076</v>
      </c>
      <c r="W19" s="32">
        <f>IFERROR(__xludf.DUMMYFUNCTION("""COMPUTED_VALUE"""),45716.66666666667)</f>
        <v>45716.66667</v>
      </c>
      <c r="X19" s="25">
        <f>IFERROR(__xludf.DUMMYFUNCTION("""COMPUTED_VALUE"""),265.49)</f>
        <v>265.49</v>
      </c>
      <c r="Y19" s="25">
        <f>IFERROR(__xludf.DUMMYFUNCTION("""COMPUTED_VALUE"""),267.0)</f>
        <v>267</v>
      </c>
      <c r="Z19" s="25">
        <f>IFERROR(__xludf.DUMMYFUNCTION("""COMPUTED_VALUE"""),253.35)</f>
        <v>253.35</v>
      </c>
      <c r="AA19" s="25">
        <f>IFERROR(__xludf.DUMMYFUNCTION("""COMPUTED_VALUE"""),264.65)</f>
        <v>264.65</v>
      </c>
      <c r="AB19" s="25">
        <f>IFERROR(__xludf.DUMMYFUNCTION("""COMPUTED_VALUE"""),4.4596348E7)</f>
        <v>44596348</v>
      </c>
      <c r="AD19" s="32">
        <f>IFERROR(__xludf.DUMMYFUNCTION("""COMPUTED_VALUE"""),45716.66666666667)</f>
        <v>45716.66667</v>
      </c>
      <c r="AE19" s="25">
        <f>IFERROR(__xludf.DUMMYFUNCTION("""COMPUTED_VALUE"""),217.45)</f>
        <v>217.45</v>
      </c>
      <c r="AF19" s="25">
        <f>IFERROR(__xludf.DUMMYFUNCTION("""COMPUTED_VALUE"""),219.97)</f>
        <v>219.97</v>
      </c>
      <c r="AG19" s="25">
        <f>IFERROR(__xludf.DUMMYFUNCTION("""COMPUTED_VALUE"""),204.16)</f>
        <v>204.16</v>
      </c>
      <c r="AH19" s="25">
        <f>IFERROR(__xludf.DUMMYFUNCTION("""COMPUTED_VALUE"""),212.28)</f>
        <v>212.28</v>
      </c>
      <c r="AI19" s="25">
        <f>IFERROR(__xludf.DUMMYFUNCTION("""COMPUTED_VALUE"""),2.32786473E8)</f>
        <v>232786473</v>
      </c>
      <c r="AK19" s="32">
        <f>IFERROR(__xludf.DUMMYFUNCTION("""COMPUTED_VALUE"""),45716.66666666667)</f>
        <v>45716.66667</v>
      </c>
      <c r="AL19" s="25">
        <f>IFERROR(__xludf.DUMMYFUNCTION("""COMPUTED_VALUE"""),338.14)</f>
        <v>338.14</v>
      </c>
      <c r="AM19" s="25">
        <f>IFERROR(__xludf.DUMMYFUNCTION("""COMPUTED_VALUE"""),342.4)</f>
        <v>342.4</v>
      </c>
      <c r="AN19" s="25">
        <f>IFERROR(__xludf.DUMMYFUNCTION("""COMPUTED_VALUE"""),273.6)</f>
        <v>273.6</v>
      </c>
      <c r="AO19" s="25">
        <f>IFERROR(__xludf.DUMMYFUNCTION("""COMPUTED_VALUE"""),292.98)</f>
        <v>292.98</v>
      </c>
      <c r="AP19" s="25">
        <f>IFERROR(__xludf.DUMMYFUNCTION("""COMPUTED_VALUE"""),5.27844539E8)</f>
        <v>527844539</v>
      </c>
    </row>
    <row r="20">
      <c r="B20" s="27">
        <f>IFERROR(__xludf.DUMMYFUNCTION("""COMPUTED_VALUE"""),45723.66666666667)</f>
        <v>45723.66667</v>
      </c>
      <c r="C20" s="25">
        <f>IFERROR(__xludf.DUMMYFUNCTION("""COMPUTED_VALUE"""),173.73)</f>
        <v>173.73</v>
      </c>
      <c r="D20" s="25">
        <f>IFERROR(__xludf.DUMMYFUNCTION("""COMPUTED_VALUE"""),176.9)</f>
        <v>176.9</v>
      </c>
      <c r="E20" s="25">
        <f>IFERROR(__xludf.DUMMYFUNCTION("""COMPUTED_VALUE"""),167.54)</f>
        <v>167.54</v>
      </c>
      <c r="F20" s="25">
        <f>IFERROR(__xludf.DUMMYFUNCTION("""COMPUTED_VALUE"""),175.75)</f>
        <v>175.75</v>
      </c>
      <c r="G20" s="25">
        <f>IFERROR(__xludf.DUMMYFUNCTION("""COMPUTED_VALUE"""),1.09159126E8)</f>
        <v>109159126</v>
      </c>
      <c r="I20" s="32">
        <f>IFERROR(__xludf.DUMMYFUNCTION("""COMPUTED_VALUE"""),45723.66666666667)</f>
        <v>45723.66667</v>
      </c>
      <c r="J20" s="25">
        <f>IFERROR(__xludf.DUMMYFUNCTION("""COMPUTED_VALUE"""),241.79)</f>
        <v>241.79</v>
      </c>
      <c r="K20" s="25">
        <f>IFERROR(__xludf.DUMMYFUNCTION("""COMPUTED_VALUE"""),244.03)</f>
        <v>244.03</v>
      </c>
      <c r="L20" s="25">
        <f>IFERROR(__xludf.DUMMYFUNCTION("""COMPUTED_VALUE"""),229.23)</f>
        <v>229.23</v>
      </c>
      <c r="M20" s="25">
        <f>IFERROR(__xludf.DUMMYFUNCTION("""COMPUTED_VALUE"""),239.07)</f>
        <v>239.07</v>
      </c>
      <c r="N20" s="25">
        <f>IFERROR(__xludf.DUMMYFUNCTION("""COMPUTED_VALUE"""),2.39653674E8)</f>
        <v>239653674</v>
      </c>
      <c r="P20" s="32">
        <f>IFERROR(__xludf.DUMMYFUNCTION("""COMPUTED_VALUE"""),45723.66666666667)</f>
        <v>45723.66667</v>
      </c>
      <c r="Q20" s="25">
        <f>IFERROR(__xludf.DUMMYFUNCTION("""COMPUTED_VALUE"""),398.82)</f>
        <v>398.82</v>
      </c>
      <c r="R20" s="25">
        <f>IFERROR(__xludf.DUMMYFUNCTION("""COMPUTED_VALUE"""),402.15)</f>
        <v>402.15</v>
      </c>
      <c r="S20" s="25">
        <f>IFERROR(__xludf.DUMMYFUNCTION("""COMPUTED_VALUE"""),381.0)</f>
        <v>381</v>
      </c>
      <c r="T20" s="25">
        <f>IFERROR(__xludf.DUMMYFUNCTION("""COMPUTED_VALUE"""),393.31)</f>
        <v>393.31</v>
      </c>
      <c r="U20" s="25">
        <f>IFERROR(__xludf.DUMMYFUNCTION("""COMPUTED_VALUE"""),1.21122493E8)</f>
        <v>121122493</v>
      </c>
      <c r="W20" s="32">
        <f>IFERROR(__xludf.DUMMYFUNCTION("""COMPUTED_VALUE"""),45723.66666666667)</f>
        <v>45723.66667</v>
      </c>
      <c r="X20" s="25">
        <f>IFERROR(__xludf.DUMMYFUNCTION("""COMPUTED_VALUE"""),264.0)</f>
        <v>264</v>
      </c>
      <c r="Y20" s="25">
        <f>IFERROR(__xludf.DUMMYFUNCTION("""COMPUTED_VALUE"""),266.32)</f>
        <v>266.32</v>
      </c>
      <c r="Z20" s="25">
        <f>IFERROR(__xludf.DUMMYFUNCTION("""COMPUTED_VALUE"""),239.42)</f>
        <v>239.42</v>
      </c>
      <c r="AA20" s="25">
        <f>IFERROR(__xludf.DUMMYFUNCTION("""COMPUTED_VALUE"""),242.28)</f>
        <v>242.28</v>
      </c>
      <c r="AB20" s="25">
        <f>IFERROR(__xludf.DUMMYFUNCTION("""COMPUTED_VALUE"""),6.086733E7)</f>
        <v>60867330</v>
      </c>
      <c r="AD20" s="32">
        <f>IFERROR(__xludf.DUMMYFUNCTION("""COMPUTED_VALUE"""),45723.66666666667)</f>
        <v>45723.66667</v>
      </c>
      <c r="AE20" s="25">
        <f>IFERROR(__xludf.DUMMYFUNCTION("""COMPUTED_VALUE"""),213.35)</f>
        <v>213.35</v>
      </c>
      <c r="AF20" s="25">
        <f>IFERROR(__xludf.DUMMYFUNCTION("""COMPUTED_VALUE"""),214.01)</f>
        <v>214.01</v>
      </c>
      <c r="AG20" s="25">
        <f>IFERROR(__xludf.DUMMYFUNCTION("""COMPUTED_VALUE"""),192.53)</f>
        <v>192.53</v>
      </c>
      <c r="AH20" s="25">
        <f>IFERROR(__xludf.DUMMYFUNCTION("""COMPUTED_VALUE"""),199.25)</f>
        <v>199.25</v>
      </c>
      <c r="AI20" s="25">
        <f>IFERROR(__xludf.DUMMYFUNCTION("""COMPUTED_VALUE"""),2.52078192E8)</f>
        <v>252078192</v>
      </c>
      <c r="AK20" s="32">
        <f>IFERROR(__xludf.DUMMYFUNCTION("""COMPUTED_VALUE"""),45723.66666666667)</f>
        <v>45723.66667</v>
      </c>
      <c r="AL20" s="25">
        <f>IFERROR(__xludf.DUMMYFUNCTION("""COMPUTED_VALUE"""),300.34)</f>
        <v>300.34</v>
      </c>
      <c r="AM20" s="25">
        <f>IFERROR(__xludf.DUMMYFUNCTION("""COMPUTED_VALUE"""),303.94)</f>
        <v>303.94</v>
      </c>
      <c r="AN20" s="25">
        <f>IFERROR(__xludf.DUMMYFUNCTION("""COMPUTED_VALUE"""),250.73)</f>
        <v>250.73</v>
      </c>
      <c r="AO20" s="25">
        <f>IFERROR(__xludf.DUMMYFUNCTION("""COMPUTED_VALUE"""),262.67)</f>
        <v>262.67</v>
      </c>
      <c r="AP20" s="25">
        <f>IFERROR(__xludf.DUMMYFUNCTION("""COMPUTED_VALUE"""),5.37122156E8)</f>
        <v>537122156</v>
      </c>
    </row>
    <row r="21">
      <c r="B21" s="27">
        <f>IFERROR(__xludf.DUMMYFUNCTION("""COMPUTED_VALUE"""),45730.66666666667)</f>
        <v>45730.66667</v>
      </c>
      <c r="C21" s="25">
        <f>IFERROR(__xludf.DUMMYFUNCTION("""COMPUTED_VALUE"""),170.16)</f>
        <v>170.16</v>
      </c>
      <c r="D21" s="25">
        <f>IFERROR(__xludf.DUMMYFUNCTION("""COMPUTED_VALUE"""),170.45)</f>
        <v>170.45</v>
      </c>
      <c r="E21" s="25">
        <f>IFERROR(__xludf.DUMMYFUNCTION("""COMPUTED_VALUE"""),163.24)</f>
        <v>163.24</v>
      </c>
      <c r="F21" s="25">
        <f>IFERROR(__xludf.DUMMYFUNCTION("""COMPUTED_VALUE"""),167.62)</f>
        <v>167.62</v>
      </c>
      <c r="G21" s="25">
        <f>IFERROR(__xludf.DUMMYFUNCTION("""COMPUTED_VALUE"""),1.06393944E8)</f>
        <v>106393944</v>
      </c>
      <c r="I21" s="32">
        <f>IFERROR(__xludf.DUMMYFUNCTION("""COMPUTED_VALUE"""),45730.66666666667)</f>
        <v>45730.66667</v>
      </c>
      <c r="J21" s="25">
        <f>IFERROR(__xludf.DUMMYFUNCTION("""COMPUTED_VALUE"""),235.54)</f>
        <v>235.54</v>
      </c>
      <c r="K21" s="25">
        <f>IFERROR(__xludf.DUMMYFUNCTION("""COMPUTED_VALUE"""),236.16)</f>
        <v>236.16</v>
      </c>
      <c r="L21" s="25">
        <f>IFERROR(__xludf.DUMMYFUNCTION("""COMPUTED_VALUE"""),208.42)</f>
        <v>208.42</v>
      </c>
      <c r="M21" s="25">
        <f>IFERROR(__xludf.DUMMYFUNCTION("""COMPUTED_VALUE"""),213.49)</f>
        <v>213.49</v>
      </c>
      <c r="N21" s="25">
        <f>IFERROR(__xludf.DUMMYFUNCTION("""COMPUTED_VALUE"""),3.32231986E8)</f>
        <v>332231986</v>
      </c>
      <c r="P21" s="32">
        <f>IFERROR(__xludf.DUMMYFUNCTION("""COMPUTED_VALUE"""),45730.66666666667)</f>
        <v>45730.66667</v>
      </c>
      <c r="Q21" s="25">
        <f>IFERROR(__xludf.DUMMYFUNCTION("""COMPUTED_VALUE"""),385.84)</f>
        <v>385.84</v>
      </c>
      <c r="R21" s="25">
        <f>IFERROR(__xludf.DUMMYFUNCTION("""COMPUTED_VALUE"""),390.23)</f>
        <v>390.23</v>
      </c>
      <c r="S21" s="25">
        <f>IFERROR(__xludf.DUMMYFUNCTION("""COMPUTED_VALUE"""),376.91)</f>
        <v>376.91</v>
      </c>
      <c r="T21" s="25">
        <f>IFERROR(__xludf.DUMMYFUNCTION("""COMPUTED_VALUE"""),388.56)</f>
        <v>388.56</v>
      </c>
      <c r="U21" s="25">
        <f>IFERROR(__xludf.DUMMYFUNCTION("""COMPUTED_VALUE"""),1.27899741E8)</f>
        <v>127899741</v>
      </c>
      <c r="W21" s="32">
        <f>IFERROR(__xludf.DUMMYFUNCTION("""COMPUTED_VALUE"""),45730.66666666667)</f>
        <v>45730.66667</v>
      </c>
      <c r="X21" s="25">
        <f>IFERROR(__xludf.DUMMYFUNCTION("""COMPUTED_VALUE"""),236.34)</f>
        <v>236.34</v>
      </c>
      <c r="Y21" s="25">
        <f>IFERROR(__xludf.DUMMYFUNCTION("""COMPUTED_VALUE"""),237.51)</f>
        <v>237.51</v>
      </c>
      <c r="Z21" s="25">
        <f>IFERROR(__xludf.DUMMYFUNCTION("""COMPUTED_VALUE"""),224.23)</f>
        <v>224.23</v>
      </c>
      <c r="AA21" s="25">
        <f>IFERROR(__xludf.DUMMYFUNCTION("""COMPUTED_VALUE"""),232.44)</f>
        <v>232.44</v>
      </c>
      <c r="AB21" s="25">
        <f>IFERROR(__xludf.DUMMYFUNCTION("""COMPUTED_VALUE"""),8.1514155E7)</f>
        <v>81514155</v>
      </c>
      <c r="AD21" s="32">
        <f>IFERROR(__xludf.DUMMYFUNCTION("""COMPUTED_VALUE"""),45730.66666666667)</f>
        <v>45730.66667</v>
      </c>
      <c r="AE21" s="25">
        <f>IFERROR(__xludf.DUMMYFUNCTION("""COMPUTED_VALUE"""),195.6)</f>
        <v>195.6</v>
      </c>
      <c r="AF21" s="25">
        <f>IFERROR(__xludf.DUMMYFUNCTION("""COMPUTED_VALUE"""),201.52)</f>
        <v>201.52</v>
      </c>
      <c r="AG21" s="25">
        <f>IFERROR(__xludf.DUMMYFUNCTION("""COMPUTED_VALUE"""),190.85)</f>
        <v>190.85</v>
      </c>
      <c r="AH21" s="25">
        <f>IFERROR(__xludf.DUMMYFUNCTION("""COMPUTED_VALUE"""),197.95)</f>
        <v>197.95</v>
      </c>
      <c r="AI21" s="25">
        <f>IFERROR(__xludf.DUMMYFUNCTION("""COMPUTED_VALUE"""),2.39400514E8)</f>
        <v>239400514</v>
      </c>
      <c r="AK21" s="32">
        <f>IFERROR(__xludf.DUMMYFUNCTION("""COMPUTED_VALUE"""),45730.66666666667)</f>
        <v>45730.66667</v>
      </c>
      <c r="AL21" s="25">
        <f>IFERROR(__xludf.DUMMYFUNCTION("""COMPUTED_VALUE"""),252.54)</f>
        <v>252.54</v>
      </c>
      <c r="AM21" s="25">
        <f>IFERROR(__xludf.DUMMYFUNCTION("""COMPUTED_VALUE"""),253.37)</f>
        <v>253.37</v>
      </c>
      <c r="AN21" s="25">
        <f>IFERROR(__xludf.DUMMYFUNCTION("""COMPUTED_VALUE"""),217.02)</f>
        <v>217.02</v>
      </c>
      <c r="AO21" s="25">
        <f>IFERROR(__xludf.DUMMYFUNCTION("""COMPUTED_VALUE"""),249.98)</f>
        <v>249.98</v>
      </c>
      <c r="AP21" s="25">
        <f>IFERROR(__xludf.DUMMYFUNCTION("""COMPUTED_VALUE"""),7.21244833E8)</f>
        <v>721244833</v>
      </c>
    </row>
    <row r="22">
      <c r="B22" s="27">
        <f>IFERROR(__xludf.DUMMYFUNCTION("""COMPUTED_VALUE"""),45737.66666666667)</f>
        <v>45737.66667</v>
      </c>
      <c r="C22" s="25">
        <f>IFERROR(__xludf.DUMMYFUNCTION("""COMPUTED_VALUE"""),167.33)</f>
        <v>167.33</v>
      </c>
      <c r="D22" s="25">
        <f>IFERROR(__xludf.DUMMYFUNCTION("""COMPUTED_VALUE"""),168.46)</f>
        <v>168.46</v>
      </c>
      <c r="E22" s="25">
        <f>IFERROR(__xludf.DUMMYFUNCTION("""COMPUTED_VALUE"""),158.8)</f>
        <v>158.8</v>
      </c>
      <c r="F22" s="25">
        <f>IFERROR(__xludf.DUMMYFUNCTION("""COMPUTED_VALUE"""),166.25)</f>
        <v>166.25</v>
      </c>
      <c r="G22" s="25">
        <f>IFERROR(__xludf.DUMMYFUNCTION("""COMPUTED_VALUE"""),1.17275216E8)</f>
        <v>117275216</v>
      </c>
      <c r="I22" s="32">
        <f>IFERROR(__xludf.DUMMYFUNCTION("""COMPUTED_VALUE"""),45737.66666666667)</f>
        <v>45737.66667</v>
      </c>
      <c r="J22" s="25">
        <f>IFERROR(__xludf.DUMMYFUNCTION("""COMPUTED_VALUE"""),213.31)</f>
        <v>213.31</v>
      </c>
      <c r="K22" s="25">
        <f>IFERROR(__xludf.DUMMYFUNCTION("""COMPUTED_VALUE"""),218.84)</f>
        <v>218.84</v>
      </c>
      <c r="L22" s="25">
        <f>IFERROR(__xludf.DUMMYFUNCTION("""COMPUTED_VALUE"""),209.97)</f>
        <v>209.97</v>
      </c>
      <c r="M22" s="25">
        <f>IFERROR(__xludf.DUMMYFUNCTION("""COMPUTED_VALUE"""),218.27)</f>
        <v>218.27</v>
      </c>
      <c r="N22" s="25">
        <f>IFERROR(__xludf.DUMMYFUNCTION("""COMPUTED_VALUE"""),2.87881958E8)</f>
        <v>287881958</v>
      </c>
      <c r="P22" s="32">
        <f>IFERROR(__xludf.DUMMYFUNCTION("""COMPUTED_VALUE"""),45737.66666666667)</f>
        <v>45737.66667</v>
      </c>
      <c r="Q22" s="25">
        <f>IFERROR(__xludf.DUMMYFUNCTION("""COMPUTED_VALUE"""),386.7)</f>
        <v>386.7</v>
      </c>
      <c r="R22" s="25">
        <f>IFERROR(__xludf.DUMMYFUNCTION("""COMPUTED_VALUE"""),392.71)</f>
        <v>392.71</v>
      </c>
      <c r="S22" s="25">
        <f>IFERROR(__xludf.DUMMYFUNCTION("""COMPUTED_VALUE"""),381.1)</f>
        <v>381.1</v>
      </c>
      <c r="T22" s="25">
        <f>IFERROR(__xludf.DUMMYFUNCTION("""COMPUTED_VALUE"""),391.26)</f>
        <v>391.26</v>
      </c>
      <c r="U22" s="25">
        <f>IFERROR(__xludf.DUMMYFUNCTION("""COMPUTED_VALUE"""),1.19293124E8)</f>
        <v>119293124</v>
      </c>
      <c r="W22" s="32">
        <f>IFERROR(__xludf.DUMMYFUNCTION("""COMPUTED_VALUE"""),45737.66666666667)</f>
        <v>45737.66667</v>
      </c>
      <c r="X22" s="25">
        <f>IFERROR(__xludf.DUMMYFUNCTION("""COMPUTED_VALUE"""),231.18)</f>
        <v>231.18</v>
      </c>
      <c r="Y22" s="25">
        <f>IFERROR(__xludf.DUMMYFUNCTION("""COMPUTED_VALUE"""),242.33)</f>
        <v>242.33</v>
      </c>
      <c r="Z22" s="25">
        <f>IFERROR(__xludf.DUMMYFUNCTION("""COMPUTED_VALUE"""),230.46)</f>
        <v>230.46</v>
      </c>
      <c r="AA22" s="25">
        <f>IFERROR(__xludf.DUMMYFUNCTION("""COMPUTED_VALUE"""),241.63)</f>
        <v>241.63</v>
      </c>
      <c r="AB22" s="25">
        <f>IFERROR(__xludf.DUMMYFUNCTION("""COMPUTED_VALUE"""),5.7706857E7)</f>
        <v>57706857</v>
      </c>
      <c r="AD22" s="32">
        <f>IFERROR(__xludf.DUMMYFUNCTION("""COMPUTED_VALUE"""),45737.66666666667)</f>
        <v>45737.66667</v>
      </c>
      <c r="AE22" s="25">
        <f>IFERROR(__xludf.DUMMYFUNCTION("""COMPUTED_VALUE"""),198.77)</f>
        <v>198.77</v>
      </c>
      <c r="AF22" s="25">
        <f>IFERROR(__xludf.DUMMYFUNCTION("""COMPUTED_VALUE"""),199.32)</f>
        <v>199.32</v>
      </c>
      <c r="AG22" s="25">
        <f>IFERROR(__xludf.DUMMYFUNCTION("""COMPUTED_VALUE"""),189.38)</f>
        <v>189.38</v>
      </c>
      <c r="AH22" s="25">
        <f>IFERROR(__xludf.DUMMYFUNCTION("""COMPUTED_VALUE"""),196.21)</f>
        <v>196.21</v>
      </c>
      <c r="AI22" s="25">
        <f>IFERROR(__xludf.DUMMYFUNCTION("""COMPUTED_VALUE"""),2.26177527E8)</f>
        <v>226177527</v>
      </c>
      <c r="AK22" s="32">
        <f>IFERROR(__xludf.DUMMYFUNCTION("""COMPUTED_VALUE"""),45737.66666666667)</f>
        <v>45737.66667</v>
      </c>
      <c r="AL22" s="25">
        <f>IFERROR(__xludf.DUMMYFUNCTION("""COMPUTED_VALUE"""),245.06)</f>
        <v>245.06</v>
      </c>
      <c r="AM22" s="25">
        <f>IFERROR(__xludf.DUMMYFUNCTION("""COMPUTED_VALUE"""),249.52)</f>
        <v>249.52</v>
      </c>
      <c r="AN22" s="25">
        <f>IFERROR(__xludf.DUMMYFUNCTION("""COMPUTED_VALUE"""),222.28)</f>
        <v>222.28</v>
      </c>
      <c r="AO22" s="25">
        <f>IFERROR(__xludf.DUMMYFUNCTION("""COMPUTED_VALUE"""),248.71)</f>
        <v>248.71</v>
      </c>
      <c r="AP22" s="25">
        <f>IFERROR(__xludf.DUMMYFUNCTION("""COMPUTED_VALUE"""),5.67128908E8)</f>
        <v>567128908</v>
      </c>
    </row>
    <row r="23">
      <c r="B23" s="27">
        <f>IFERROR(__xludf.DUMMYFUNCTION("""COMPUTED_VALUE"""),45744.66666666667)</f>
        <v>45744.66667</v>
      </c>
      <c r="C23" s="25">
        <f>IFERROR(__xludf.DUMMYFUNCTION("""COMPUTED_VALUE"""),169.27)</f>
        <v>169.27</v>
      </c>
      <c r="D23" s="25">
        <f>IFERROR(__xludf.DUMMYFUNCTION("""COMPUTED_VALUE"""),172.91)</f>
        <v>172.91</v>
      </c>
      <c r="E23" s="25">
        <f>IFERROR(__xludf.DUMMYFUNCTION("""COMPUTED_VALUE"""),155.34)</f>
        <v>155.34</v>
      </c>
      <c r="F23" s="25">
        <f>IFERROR(__xludf.DUMMYFUNCTION("""COMPUTED_VALUE"""),156.06)</f>
        <v>156.06</v>
      </c>
      <c r="G23" s="25">
        <f>IFERROR(__xludf.DUMMYFUNCTION("""COMPUTED_VALUE"""),1.11576312E8)</f>
        <v>111576312</v>
      </c>
      <c r="I23" s="32">
        <f>IFERROR(__xludf.DUMMYFUNCTION("""COMPUTED_VALUE"""),45744.66666666667)</f>
        <v>45744.66667</v>
      </c>
      <c r="J23" s="25">
        <f>IFERROR(__xludf.DUMMYFUNCTION("""COMPUTED_VALUE"""),221.0)</f>
        <v>221</v>
      </c>
      <c r="K23" s="25">
        <f>IFERROR(__xludf.DUMMYFUNCTION("""COMPUTED_VALUE"""),225.02)</f>
        <v>225.02</v>
      </c>
      <c r="L23" s="25">
        <f>IFERROR(__xludf.DUMMYFUNCTION("""COMPUTED_VALUE"""),217.68)</f>
        <v>217.68</v>
      </c>
      <c r="M23" s="25">
        <f>IFERROR(__xludf.DUMMYFUNCTION("""COMPUTED_VALUE"""),217.9)</f>
        <v>217.9</v>
      </c>
      <c r="N23" s="25">
        <f>IFERROR(__xludf.DUMMYFUNCTION("""COMPUTED_VALUE"""),1.90239113E8)</f>
        <v>190239113</v>
      </c>
      <c r="P23" s="32">
        <f>IFERROR(__xludf.DUMMYFUNCTION("""COMPUTED_VALUE"""),45744.66666666667)</f>
        <v>45744.66667</v>
      </c>
      <c r="Q23" s="25">
        <f>IFERROR(__xludf.DUMMYFUNCTION("""COMPUTED_VALUE"""),395.4)</f>
        <v>395.4</v>
      </c>
      <c r="R23" s="25">
        <f>IFERROR(__xludf.DUMMYFUNCTION("""COMPUTED_VALUE"""),396.36)</f>
        <v>396.36</v>
      </c>
      <c r="S23" s="25">
        <f>IFERROR(__xludf.DUMMYFUNCTION("""COMPUTED_VALUE"""),376.93)</f>
        <v>376.93</v>
      </c>
      <c r="T23" s="25">
        <f>IFERROR(__xludf.DUMMYFUNCTION("""COMPUTED_VALUE"""),378.8)</f>
        <v>378.8</v>
      </c>
      <c r="U23" s="25">
        <f>IFERROR(__xludf.DUMMYFUNCTION("""COMPUTED_VALUE"""),8.8311199E7)</f>
        <v>88311199</v>
      </c>
      <c r="W23" s="32">
        <f>IFERROR(__xludf.DUMMYFUNCTION("""COMPUTED_VALUE"""),45744.66666666667)</f>
        <v>45744.66667</v>
      </c>
      <c r="X23" s="25">
        <f>IFERROR(__xludf.DUMMYFUNCTION("""COMPUTED_VALUE"""),245.48)</f>
        <v>245.48</v>
      </c>
      <c r="Y23" s="25">
        <f>IFERROR(__xludf.DUMMYFUNCTION("""COMPUTED_VALUE"""),254.67)</f>
        <v>254.67</v>
      </c>
      <c r="Z23" s="25">
        <f>IFERROR(__xludf.DUMMYFUNCTION("""COMPUTED_VALUE"""),241.11)</f>
        <v>241.11</v>
      </c>
      <c r="AA23" s="25">
        <f>IFERROR(__xludf.DUMMYFUNCTION("""COMPUTED_VALUE"""),242.85)</f>
        <v>242.85</v>
      </c>
      <c r="AB23" s="25">
        <f>IFERROR(__xludf.DUMMYFUNCTION("""COMPUTED_VALUE"""),5.1496503E7)</f>
        <v>51496503</v>
      </c>
      <c r="AD23" s="32">
        <f>IFERROR(__xludf.DUMMYFUNCTION("""COMPUTED_VALUE"""),45744.66666666667)</f>
        <v>45744.66667</v>
      </c>
      <c r="AE23" s="25">
        <f>IFERROR(__xludf.DUMMYFUNCTION("""COMPUTED_VALUE"""),200.0)</f>
        <v>200</v>
      </c>
      <c r="AF23" s="25">
        <f>IFERROR(__xludf.DUMMYFUNCTION("""COMPUTED_VALUE"""),206.21)</f>
        <v>206.21</v>
      </c>
      <c r="AG23" s="25">
        <f>IFERROR(__xludf.DUMMYFUNCTION("""COMPUTED_VALUE"""),191.88)</f>
        <v>191.88</v>
      </c>
      <c r="AH23" s="25">
        <f>IFERROR(__xludf.DUMMYFUNCTION("""COMPUTED_VALUE"""),192.72)</f>
        <v>192.72</v>
      </c>
      <c r="AI23" s="25">
        <f>IFERROR(__xludf.DUMMYFUNCTION("""COMPUTED_VALUE"""),1.85653386E8)</f>
        <v>185653386</v>
      </c>
      <c r="AK23" s="32">
        <f>IFERROR(__xludf.DUMMYFUNCTION("""COMPUTED_VALUE"""),45744.66666666667)</f>
        <v>45744.66667</v>
      </c>
      <c r="AL23" s="25">
        <f>IFERROR(__xludf.DUMMYFUNCTION("""COMPUTED_VALUE"""),258.08)</f>
        <v>258.08</v>
      </c>
      <c r="AM23" s="25">
        <f>IFERROR(__xludf.DUMMYFUNCTION("""COMPUTED_VALUE"""),291.85)</f>
        <v>291.85</v>
      </c>
      <c r="AN23" s="25">
        <f>IFERROR(__xludf.DUMMYFUNCTION("""COMPUTED_VALUE"""),256.33)</f>
        <v>256.33</v>
      </c>
      <c r="AO23" s="25">
        <f>IFERROR(__xludf.DUMMYFUNCTION("""COMPUTED_VALUE"""),263.55)</f>
        <v>263.55</v>
      </c>
      <c r="AP23" s="25">
        <f>IFERROR(__xludf.DUMMYFUNCTION("""COMPUTED_VALUE"""),7.62077379E8)</f>
        <v>762077379</v>
      </c>
    </row>
    <row r="24">
      <c r="B24" s="27">
        <f>IFERROR(__xludf.DUMMYFUNCTION("""COMPUTED_VALUE"""),45751.66666666667)</f>
        <v>45751.66667</v>
      </c>
      <c r="C24" s="25">
        <f>IFERROR(__xludf.DUMMYFUNCTION("""COMPUTED_VALUE"""),154.81)</f>
        <v>154.81</v>
      </c>
      <c r="D24" s="25">
        <f>IFERROR(__xludf.DUMMYFUNCTION("""COMPUTED_VALUE"""),160.28)</f>
        <v>160.28</v>
      </c>
      <c r="E24" s="25">
        <f>IFERROR(__xludf.DUMMYFUNCTION("""COMPUTED_VALUE"""),147.54)</f>
        <v>147.54</v>
      </c>
      <c r="F24" s="25">
        <f>IFERROR(__xludf.DUMMYFUNCTION("""COMPUTED_VALUE"""),147.74)</f>
        <v>147.74</v>
      </c>
      <c r="G24" s="25">
        <f>IFERROR(__xludf.DUMMYFUNCTION("""COMPUTED_VALUE"""),1.39064523E8)</f>
        <v>139064523</v>
      </c>
      <c r="I24" s="32">
        <f>IFERROR(__xludf.DUMMYFUNCTION("""COMPUTED_VALUE"""),45751.66666666667)</f>
        <v>45751.66667</v>
      </c>
      <c r="J24" s="25">
        <f>IFERROR(__xludf.DUMMYFUNCTION("""COMPUTED_VALUE"""),217.01)</f>
        <v>217.01</v>
      </c>
      <c r="K24" s="25">
        <f>IFERROR(__xludf.DUMMYFUNCTION("""COMPUTED_VALUE"""),225.62)</f>
        <v>225.62</v>
      </c>
      <c r="L24" s="25">
        <f>IFERROR(__xludf.DUMMYFUNCTION("""COMPUTED_VALUE"""),187.34)</f>
        <v>187.34</v>
      </c>
      <c r="M24" s="25">
        <f>IFERROR(__xludf.DUMMYFUNCTION("""COMPUTED_VALUE"""),188.38)</f>
        <v>188.38</v>
      </c>
      <c r="N24" s="25">
        <f>IFERROR(__xludf.DUMMYFUNCTION("""COMPUTED_VALUE"""),3.66947884E8)</f>
        <v>366947884</v>
      </c>
      <c r="P24" s="32">
        <f>IFERROR(__xludf.DUMMYFUNCTION("""COMPUTED_VALUE"""),45751.66666666667)</f>
        <v>45751.66667</v>
      </c>
      <c r="Q24" s="25">
        <f>IFERROR(__xludf.DUMMYFUNCTION("""COMPUTED_VALUE"""),372.54)</f>
        <v>372.54</v>
      </c>
      <c r="R24" s="25">
        <f>IFERROR(__xludf.DUMMYFUNCTION("""COMPUTED_VALUE"""),385.08)</f>
        <v>385.08</v>
      </c>
      <c r="S24" s="25">
        <f>IFERROR(__xludf.DUMMYFUNCTION("""COMPUTED_VALUE"""),359.48)</f>
        <v>359.48</v>
      </c>
      <c r="T24" s="25">
        <f>IFERROR(__xludf.DUMMYFUNCTION("""COMPUTED_VALUE"""),359.84)</f>
        <v>359.84</v>
      </c>
      <c r="U24" s="25">
        <f>IFERROR(__xludf.DUMMYFUNCTION("""COMPUTED_VALUE"""),1.50374585E8)</f>
        <v>150374585</v>
      </c>
      <c r="W24" s="32">
        <f>IFERROR(__xludf.DUMMYFUNCTION("""COMPUTED_VALUE"""),45751.66666666667)</f>
        <v>45751.66667</v>
      </c>
      <c r="X24" s="25">
        <f>IFERROR(__xludf.DUMMYFUNCTION("""COMPUTED_VALUE"""),238.65)</f>
        <v>238.65</v>
      </c>
      <c r="Y24" s="25">
        <f>IFERROR(__xludf.DUMMYFUNCTION("""COMPUTED_VALUE"""),247.25)</f>
        <v>247.25</v>
      </c>
      <c r="Z24" s="25">
        <f>IFERROR(__xludf.DUMMYFUNCTION("""COMPUTED_VALUE"""),208.93)</f>
        <v>208.93</v>
      </c>
      <c r="AA24" s="25">
        <f>IFERROR(__xludf.DUMMYFUNCTION("""COMPUTED_VALUE"""),210.28)</f>
        <v>210.28</v>
      </c>
      <c r="AB24" s="25">
        <f>IFERROR(__xludf.DUMMYFUNCTION("""COMPUTED_VALUE"""),7.3775587E7)</f>
        <v>73775587</v>
      </c>
      <c r="AD24" s="32">
        <f>IFERROR(__xludf.DUMMYFUNCTION("""COMPUTED_VALUE"""),45751.66666666667)</f>
        <v>45751.66667</v>
      </c>
      <c r="AE24" s="25">
        <f>IFERROR(__xludf.DUMMYFUNCTION("""COMPUTED_VALUE"""),188.19)</f>
        <v>188.19</v>
      </c>
      <c r="AF24" s="25">
        <f>IFERROR(__xludf.DUMMYFUNCTION("""COMPUTED_VALUE"""),198.34)</f>
        <v>198.34</v>
      </c>
      <c r="AG24" s="25">
        <f>IFERROR(__xludf.DUMMYFUNCTION("""COMPUTED_VALUE"""),166.0)</f>
        <v>166</v>
      </c>
      <c r="AH24" s="25">
        <f>IFERROR(__xludf.DUMMYFUNCTION("""COMPUTED_VALUE"""),171.0)</f>
        <v>171</v>
      </c>
      <c r="AI24" s="25">
        <f>IFERROR(__xludf.DUMMYFUNCTION("""COMPUTED_VALUE"""),3.77207047E8)</f>
        <v>377207047</v>
      </c>
      <c r="AK24" s="32">
        <f>IFERROR(__xludf.DUMMYFUNCTION("""COMPUTED_VALUE"""),45751.66666666667)</f>
        <v>45751.66667</v>
      </c>
      <c r="AL24" s="25">
        <f>IFERROR(__xludf.DUMMYFUNCTION("""COMPUTED_VALUE"""),249.31)</f>
        <v>249.31</v>
      </c>
      <c r="AM24" s="25">
        <f>IFERROR(__xludf.DUMMYFUNCTION("""COMPUTED_VALUE"""),284.99)</f>
        <v>284.99</v>
      </c>
      <c r="AN24" s="25">
        <f>IFERROR(__xludf.DUMMYFUNCTION("""COMPUTED_VALUE"""),236.0)</f>
        <v>236</v>
      </c>
      <c r="AO24" s="25">
        <f>IFERROR(__xludf.DUMMYFUNCTION("""COMPUTED_VALUE"""),239.43)</f>
        <v>239.43</v>
      </c>
      <c r="AP24" s="25">
        <f>IFERROR(__xludf.DUMMYFUNCTION("""COMPUTED_VALUE"""),8.10687308E8)</f>
        <v>810687308</v>
      </c>
    </row>
    <row r="25">
      <c r="B25" s="27">
        <f>IFERROR(__xludf.DUMMYFUNCTION("""COMPUTED_VALUE"""),45758.66666666667)</f>
        <v>45758.66667</v>
      </c>
      <c r="C25" s="25">
        <f>IFERROR(__xludf.DUMMYFUNCTION("""COMPUTED_VALUE"""),143.39)</f>
        <v>143.39</v>
      </c>
      <c r="D25" s="25">
        <f>IFERROR(__xludf.DUMMYFUNCTION("""COMPUTED_VALUE"""),161.87)</f>
        <v>161.87</v>
      </c>
      <c r="E25" s="25">
        <f>IFERROR(__xludf.DUMMYFUNCTION("""COMPUTED_VALUE"""),142.66)</f>
        <v>142.66</v>
      </c>
      <c r="F25" s="25">
        <f>IFERROR(__xludf.DUMMYFUNCTION("""COMPUTED_VALUE"""),159.4)</f>
        <v>159.4</v>
      </c>
      <c r="G25" s="25">
        <f>IFERROR(__xludf.DUMMYFUNCTION("""COMPUTED_VALUE"""),1.87459483E8)</f>
        <v>187459483</v>
      </c>
      <c r="I25" s="32">
        <f>IFERROR(__xludf.DUMMYFUNCTION("""COMPUTED_VALUE"""),45758.66666666667)</f>
        <v>45758.66667</v>
      </c>
      <c r="J25" s="25">
        <f>IFERROR(__xludf.DUMMYFUNCTION("""COMPUTED_VALUE"""),177.2)</f>
        <v>177.2</v>
      </c>
      <c r="K25" s="25">
        <f>IFERROR(__xludf.DUMMYFUNCTION("""COMPUTED_VALUE"""),200.61)</f>
        <v>200.61</v>
      </c>
      <c r="L25" s="25">
        <f>IFERROR(__xludf.DUMMYFUNCTION("""COMPUTED_VALUE"""),169.21)</f>
        <v>169.21</v>
      </c>
      <c r="M25" s="25">
        <f>IFERROR(__xludf.DUMMYFUNCTION("""COMPUTED_VALUE"""),198.15)</f>
        <v>198.15</v>
      </c>
      <c r="N25" s="25">
        <f>IFERROR(__xludf.DUMMYFUNCTION("""COMPUTED_VALUE"""),6.75037558E8)</f>
        <v>675037558</v>
      </c>
      <c r="P25" s="32">
        <f>IFERROR(__xludf.DUMMYFUNCTION("""COMPUTED_VALUE"""),45758.66666666667)</f>
        <v>45758.66667</v>
      </c>
      <c r="Q25" s="25">
        <f>IFERROR(__xludf.DUMMYFUNCTION("""COMPUTED_VALUE"""),350.88)</f>
        <v>350.88</v>
      </c>
      <c r="R25" s="25">
        <f>IFERROR(__xludf.DUMMYFUNCTION("""COMPUTED_VALUE"""),393.23)</f>
        <v>393.23</v>
      </c>
      <c r="S25" s="25">
        <f>IFERROR(__xludf.DUMMYFUNCTION("""COMPUTED_VALUE"""),344.79)</f>
        <v>344.79</v>
      </c>
      <c r="T25" s="25">
        <f>IFERROR(__xludf.DUMMYFUNCTION("""COMPUTED_VALUE"""),388.45)</f>
        <v>388.45</v>
      </c>
      <c r="U25" s="25">
        <f>IFERROR(__xludf.DUMMYFUNCTION("""COMPUTED_VALUE"""),1.983572E8)</f>
        <v>198357200</v>
      </c>
      <c r="W25" s="32">
        <f>IFERROR(__xludf.DUMMYFUNCTION("""COMPUTED_VALUE"""),45758.66666666667)</f>
        <v>45758.66667</v>
      </c>
      <c r="X25" s="25">
        <f>IFERROR(__xludf.DUMMYFUNCTION("""COMPUTED_VALUE"""),205.77)</f>
        <v>205.77</v>
      </c>
      <c r="Y25" s="25">
        <f>IFERROR(__xludf.DUMMYFUNCTION("""COMPUTED_VALUE"""),238.58)</f>
        <v>238.58</v>
      </c>
      <c r="Z25" s="25">
        <f>IFERROR(__xludf.DUMMYFUNCTION("""COMPUTED_VALUE"""),202.16)</f>
        <v>202.16</v>
      </c>
      <c r="AA25" s="25">
        <f>IFERROR(__xludf.DUMMYFUNCTION("""COMPUTED_VALUE"""),236.2)</f>
        <v>236.2</v>
      </c>
      <c r="AB25" s="25">
        <f>IFERROR(__xludf.DUMMYFUNCTION("""COMPUTED_VALUE"""),1.05603344E8)</f>
        <v>105603344</v>
      </c>
      <c r="AD25" s="32">
        <f>IFERROR(__xludf.DUMMYFUNCTION("""COMPUTED_VALUE"""),45758.66666666667)</f>
        <v>45758.66667</v>
      </c>
      <c r="AE25" s="25">
        <f>IFERROR(__xludf.DUMMYFUNCTION("""COMPUTED_VALUE"""),162.0)</f>
        <v>162</v>
      </c>
      <c r="AF25" s="25">
        <f>IFERROR(__xludf.DUMMYFUNCTION("""COMPUTED_VALUE"""),192.65)</f>
        <v>192.65</v>
      </c>
      <c r="AG25" s="25">
        <f>IFERROR(__xludf.DUMMYFUNCTION("""COMPUTED_VALUE"""),161.38)</f>
        <v>161.38</v>
      </c>
      <c r="AH25" s="25">
        <f>IFERROR(__xludf.DUMMYFUNCTION("""COMPUTED_VALUE"""),184.87)</f>
        <v>184.87</v>
      </c>
      <c r="AI25" s="25">
        <f>IFERROR(__xludf.DUMMYFUNCTION("""COMPUTED_VALUE"""),4.32738187E8)</f>
        <v>432738187</v>
      </c>
      <c r="AK25" s="32">
        <f>IFERROR(__xludf.DUMMYFUNCTION("""COMPUTED_VALUE"""),45758.66666666667)</f>
        <v>45758.66667</v>
      </c>
      <c r="AL25" s="25">
        <f>IFERROR(__xludf.DUMMYFUNCTION("""COMPUTED_VALUE"""),223.78)</f>
        <v>223.78</v>
      </c>
      <c r="AM25" s="25">
        <f>IFERROR(__xludf.DUMMYFUNCTION("""COMPUTED_VALUE"""),274.69)</f>
        <v>274.69</v>
      </c>
      <c r="AN25" s="25">
        <f>IFERROR(__xludf.DUMMYFUNCTION("""COMPUTED_VALUE"""),214.25)</f>
        <v>214.25</v>
      </c>
      <c r="AO25" s="25">
        <f>IFERROR(__xludf.DUMMYFUNCTION("""COMPUTED_VALUE"""),252.31)</f>
        <v>252.31</v>
      </c>
      <c r="AP25" s="25">
        <f>IFERROR(__xludf.DUMMYFUNCTION("""COMPUTED_VALUE"""),8.8516131E8)</f>
        <v>885161310</v>
      </c>
    </row>
    <row r="26">
      <c r="B26" s="27">
        <f>IFERROR(__xludf.DUMMYFUNCTION("""COMPUTED_VALUE"""),45764.66666666667)</f>
        <v>45764.66667</v>
      </c>
      <c r="C26" s="25">
        <f>IFERROR(__xludf.DUMMYFUNCTION("""COMPUTED_VALUE"""),162.31)</f>
        <v>162.31</v>
      </c>
      <c r="D26" s="25">
        <f>IFERROR(__xludf.DUMMYFUNCTION("""COMPUTED_VALUE"""),164.03)</f>
        <v>164.03</v>
      </c>
      <c r="E26" s="25">
        <f>IFERROR(__xludf.DUMMYFUNCTION("""COMPUTED_VALUE"""),150.9)</f>
        <v>150.9</v>
      </c>
      <c r="F26" s="25">
        <f>IFERROR(__xludf.DUMMYFUNCTION("""COMPUTED_VALUE"""),153.36)</f>
        <v>153.36</v>
      </c>
      <c r="G26" s="25">
        <f>IFERROR(__xludf.DUMMYFUNCTION("""COMPUTED_VALUE"""),7.0381619E7)</f>
        <v>70381619</v>
      </c>
      <c r="I26" s="32">
        <f>IFERROR(__xludf.DUMMYFUNCTION("""COMPUTED_VALUE"""),45764.66666666667)</f>
        <v>45764.66667</v>
      </c>
      <c r="J26" s="25">
        <f>IFERROR(__xludf.DUMMYFUNCTION("""COMPUTED_VALUE"""),211.44)</f>
        <v>211.44</v>
      </c>
      <c r="K26" s="25">
        <f>IFERROR(__xludf.DUMMYFUNCTION("""COMPUTED_VALUE"""),212.94)</f>
        <v>212.94</v>
      </c>
      <c r="L26" s="25">
        <f>IFERROR(__xludf.DUMMYFUNCTION("""COMPUTED_VALUE"""),192.37)</f>
        <v>192.37</v>
      </c>
      <c r="M26" s="25">
        <f>IFERROR(__xludf.DUMMYFUNCTION("""COMPUTED_VALUE"""),196.98)</f>
        <v>196.98</v>
      </c>
      <c r="N26" s="25">
        <f>IFERROR(__xludf.DUMMYFUNCTION("""COMPUTED_VALUE"""),2.64593881E8)</f>
        <v>264593881</v>
      </c>
      <c r="P26" s="32">
        <f>IFERROR(__xludf.DUMMYFUNCTION("""COMPUTED_VALUE"""),45764.66666666667)</f>
        <v>45764.66667</v>
      </c>
      <c r="Q26" s="25">
        <f>IFERROR(__xludf.DUMMYFUNCTION("""COMPUTED_VALUE"""),393.22)</f>
        <v>393.22</v>
      </c>
      <c r="R26" s="25">
        <f>IFERROR(__xludf.DUMMYFUNCTION("""COMPUTED_VALUE"""),394.65)</f>
        <v>394.65</v>
      </c>
      <c r="S26" s="25">
        <f>IFERROR(__xludf.DUMMYFUNCTION("""COMPUTED_VALUE"""),366.89)</f>
        <v>366.89</v>
      </c>
      <c r="T26" s="25">
        <f>IFERROR(__xludf.DUMMYFUNCTION("""COMPUTED_VALUE"""),367.78)</f>
        <v>367.78</v>
      </c>
      <c r="U26" s="25">
        <f>IFERROR(__xludf.DUMMYFUNCTION("""COMPUTED_VALUE"""),7.953908E7)</f>
        <v>79539080</v>
      </c>
      <c r="W26" s="32">
        <f>IFERROR(__xludf.DUMMYFUNCTION("""COMPUTED_VALUE"""),45764.66666666667)</f>
        <v>45764.66667</v>
      </c>
      <c r="X26" s="25">
        <f>IFERROR(__xludf.DUMMYFUNCTION("""COMPUTED_VALUE"""),237.1)</f>
        <v>237.1</v>
      </c>
      <c r="Y26" s="25">
        <f>IFERROR(__xludf.DUMMYFUNCTION("""COMPUTED_VALUE"""),239.78)</f>
        <v>239.78</v>
      </c>
      <c r="Z26" s="25">
        <f>IFERROR(__xludf.DUMMYFUNCTION("""COMPUTED_VALUE"""),227.93)</f>
        <v>227.93</v>
      </c>
      <c r="AA26" s="25">
        <f>IFERROR(__xludf.DUMMYFUNCTION("""COMPUTED_VALUE"""),231.96)</f>
        <v>231.96</v>
      </c>
      <c r="AB26" s="25">
        <f>IFERROR(__xludf.DUMMYFUNCTION("""COMPUTED_VALUE"""),4.2810978E7)</f>
        <v>42810978</v>
      </c>
      <c r="AD26" s="32">
        <f>IFERROR(__xludf.DUMMYFUNCTION("""COMPUTED_VALUE"""),45764.66666666667)</f>
        <v>45764.66667</v>
      </c>
      <c r="AE26" s="25">
        <f>IFERROR(__xludf.DUMMYFUNCTION("""COMPUTED_VALUE"""),186.84)</f>
        <v>186.84</v>
      </c>
      <c r="AF26" s="25">
        <f>IFERROR(__xludf.DUMMYFUNCTION("""COMPUTED_VALUE"""),187.44)</f>
        <v>187.44</v>
      </c>
      <c r="AG26" s="25">
        <f>IFERROR(__xludf.DUMMYFUNCTION("""COMPUTED_VALUE"""),171.41)</f>
        <v>171.41</v>
      </c>
      <c r="AH26" s="25">
        <f>IFERROR(__xludf.DUMMYFUNCTION("""COMPUTED_VALUE"""),172.61)</f>
        <v>172.61</v>
      </c>
      <c r="AI26" s="25">
        <f>IFERROR(__xludf.DUMMYFUNCTION("""COMPUTED_VALUE"""),1.88246261E8)</f>
        <v>188246261</v>
      </c>
      <c r="AK26" s="32">
        <f>IFERROR(__xludf.DUMMYFUNCTION("""COMPUTED_VALUE"""),45764.66666666667)</f>
        <v>45764.66667</v>
      </c>
      <c r="AL26" s="25">
        <f>IFERROR(__xludf.DUMMYFUNCTION("""COMPUTED_VALUE"""),258.36)</f>
        <v>258.36</v>
      </c>
      <c r="AM26" s="25">
        <f>IFERROR(__xludf.DUMMYFUNCTION("""COMPUTED_VALUE"""),261.8)</f>
        <v>261.8</v>
      </c>
      <c r="AN26" s="25">
        <f>IFERROR(__xludf.DUMMYFUNCTION("""COMPUTED_VALUE"""),233.89)</f>
        <v>233.89</v>
      </c>
      <c r="AO26" s="25">
        <f>IFERROR(__xludf.DUMMYFUNCTION("""COMPUTED_VALUE"""),241.37)</f>
        <v>241.37</v>
      </c>
      <c r="AP26" s="25">
        <f>IFERROR(__xludf.DUMMYFUNCTION("""COMPUTED_VALUE"""),3.75513071E8)</f>
        <v>375513071</v>
      </c>
    </row>
    <row r="27">
      <c r="B27" s="27">
        <f>IFERROR(__xludf.DUMMYFUNCTION("""COMPUTED_VALUE"""),45772.66666666667)</f>
        <v>45772.66667</v>
      </c>
      <c r="C27" s="25">
        <f>IFERROR(__xludf.DUMMYFUNCTION("""COMPUTED_VALUE"""),150.97)</f>
        <v>150.97</v>
      </c>
      <c r="D27" s="25">
        <f>IFERROR(__xludf.DUMMYFUNCTION("""COMPUTED_VALUE"""),168.24)</f>
        <v>168.24</v>
      </c>
      <c r="E27" s="25">
        <f>IFERROR(__xludf.DUMMYFUNCTION("""COMPUTED_VALUE"""),148.4)</f>
        <v>148.4</v>
      </c>
      <c r="F27" s="25">
        <f>IFERROR(__xludf.DUMMYFUNCTION("""COMPUTED_VALUE"""),163.85)</f>
        <v>163.85</v>
      </c>
      <c r="G27" s="25">
        <f>IFERROR(__xludf.DUMMYFUNCTION("""COMPUTED_VALUE"""),1.16569376E8)</f>
        <v>116569376</v>
      </c>
      <c r="I27" s="32">
        <f>IFERROR(__xludf.DUMMYFUNCTION("""COMPUTED_VALUE"""),45772.66666666667)</f>
        <v>45772.66667</v>
      </c>
      <c r="J27" s="25">
        <f>IFERROR(__xludf.DUMMYFUNCTION("""COMPUTED_VALUE"""),193.27)</f>
        <v>193.27</v>
      </c>
      <c r="K27" s="25">
        <f>IFERROR(__xludf.DUMMYFUNCTION("""COMPUTED_VALUE"""),209.75)</f>
        <v>209.75</v>
      </c>
      <c r="L27" s="25">
        <f>IFERROR(__xludf.DUMMYFUNCTION("""COMPUTED_VALUE"""),189.81)</f>
        <v>189.81</v>
      </c>
      <c r="M27" s="25">
        <f>IFERROR(__xludf.DUMMYFUNCTION("""COMPUTED_VALUE"""),209.28)</f>
        <v>209.28</v>
      </c>
      <c r="N27" s="25">
        <f>IFERROR(__xludf.DUMMYFUNCTION("""COMPUTED_VALUE"""),2.3818132E8)</f>
        <v>238181320</v>
      </c>
      <c r="P27" s="32">
        <f>IFERROR(__xludf.DUMMYFUNCTION("""COMPUTED_VALUE"""),45772.66666666667)</f>
        <v>45772.66667</v>
      </c>
      <c r="Q27" s="25">
        <f>IFERROR(__xludf.DUMMYFUNCTION("""COMPUTED_VALUE"""),362.82)</f>
        <v>362.82</v>
      </c>
      <c r="R27" s="25">
        <f>IFERROR(__xludf.DUMMYFUNCTION("""COMPUTED_VALUE"""),392.16)</f>
        <v>392.16</v>
      </c>
      <c r="S27" s="25">
        <f>IFERROR(__xludf.DUMMYFUNCTION("""COMPUTED_VALUE"""),355.67)</f>
        <v>355.67</v>
      </c>
      <c r="T27" s="25">
        <f>IFERROR(__xludf.DUMMYFUNCTION("""COMPUTED_VALUE"""),391.85)</f>
        <v>391.85</v>
      </c>
      <c r="U27" s="25">
        <f>IFERROR(__xludf.DUMMYFUNCTION("""COMPUTED_VALUE"""),1.02043252E8)</f>
        <v>102043252</v>
      </c>
      <c r="W27" s="32">
        <f>IFERROR(__xludf.DUMMYFUNCTION("""COMPUTED_VALUE"""),45772.66666666667)</f>
        <v>45772.66667</v>
      </c>
      <c r="X27" s="25">
        <f>IFERROR(__xludf.DUMMYFUNCTION("""COMPUTED_VALUE"""),230.01)</f>
        <v>230.01</v>
      </c>
      <c r="Y27" s="25">
        <f>IFERROR(__xludf.DUMMYFUNCTION("""COMPUTED_VALUE"""),246.79)</f>
        <v>246.79</v>
      </c>
      <c r="Z27" s="25">
        <f>IFERROR(__xludf.DUMMYFUNCTION("""COMPUTED_VALUE"""),226.34)</f>
        <v>226.34</v>
      </c>
      <c r="AA27" s="25">
        <f>IFERROR(__xludf.DUMMYFUNCTION("""COMPUTED_VALUE"""),243.55)</f>
        <v>243.55</v>
      </c>
      <c r="AB27" s="25">
        <f>IFERROR(__xludf.DUMMYFUNCTION("""COMPUTED_VALUE"""),5.1188103E7)</f>
        <v>51188103</v>
      </c>
      <c r="AD27" s="32">
        <f>IFERROR(__xludf.DUMMYFUNCTION("""COMPUTED_VALUE"""),45772.66666666667)</f>
        <v>45772.66667</v>
      </c>
      <c r="AE27" s="25">
        <f>IFERROR(__xludf.DUMMYFUNCTION("""COMPUTED_VALUE"""),169.6)</f>
        <v>169.6</v>
      </c>
      <c r="AF27" s="25">
        <f>IFERROR(__xludf.DUMMYFUNCTION("""COMPUTED_VALUE"""),189.94)</f>
        <v>189.94</v>
      </c>
      <c r="AG27" s="25">
        <f>IFERROR(__xludf.DUMMYFUNCTION("""COMPUTED_VALUE"""),165.29)</f>
        <v>165.29</v>
      </c>
      <c r="AH27" s="25">
        <f>IFERROR(__xludf.DUMMYFUNCTION("""COMPUTED_VALUE"""),188.99)</f>
        <v>188.99</v>
      </c>
      <c r="AI27" s="25">
        <f>IFERROR(__xludf.DUMMYFUNCTION("""COMPUTED_VALUE"""),2.48380988E8)</f>
        <v>248380988</v>
      </c>
      <c r="AK27" s="32">
        <f>IFERROR(__xludf.DUMMYFUNCTION("""COMPUTED_VALUE"""),45772.66666666667)</f>
        <v>45772.66667</v>
      </c>
      <c r="AL27" s="25">
        <f>IFERROR(__xludf.DUMMYFUNCTION("""COMPUTED_VALUE"""),230.26)</f>
        <v>230.26</v>
      </c>
      <c r="AM27" s="25">
        <f>IFERROR(__xludf.DUMMYFUNCTION("""COMPUTED_VALUE"""),286.85)</f>
        <v>286.85</v>
      </c>
      <c r="AN27" s="25">
        <f>IFERROR(__xludf.DUMMYFUNCTION("""COMPUTED_VALUE"""),222.79)</f>
        <v>222.79</v>
      </c>
      <c r="AO27" s="25">
        <f>IFERROR(__xludf.DUMMYFUNCTION("""COMPUTED_VALUE"""),284.95)</f>
        <v>284.95</v>
      </c>
      <c r="AP27" s="25">
        <f>IFERROR(__xludf.DUMMYFUNCTION("""COMPUTED_VALUE"""),6.31033245E8)</f>
        <v>631033245</v>
      </c>
    </row>
    <row r="28">
      <c r="B28" s="27">
        <f>IFERROR(__xludf.DUMMYFUNCTION("""COMPUTED_VALUE"""),45779.66666666667)</f>
        <v>45779.66667</v>
      </c>
      <c r="C28" s="25">
        <f>IFERROR(__xludf.DUMMYFUNCTION("""COMPUTED_VALUE"""),164.26)</f>
        <v>164.26</v>
      </c>
      <c r="D28" s="25">
        <f>IFERROR(__xludf.DUMMYFUNCTION("""COMPUTED_VALUE"""),166.7)</f>
        <v>166.7</v>
      </c>
      <c r="E28" s="25">
        <f>IFERROR(__xludf.DUMMYFUNCTION("""COMPUTED_VALUE"""),157.16)</f>
        <v>157.16</v>
      </c>
      <c r="F28" s="25">
        <f>IFERROR(__xludf.DUMMYFUNCTION("""COMPUTED_VALUE"""),165.81)</f>
        <v>165.81</v>
      </c>
      <c r="G28" s="25">
        <f>IFERROR(__xludf.DUMMYFUNCTION("""COMPUTED_VALUE"""),9.6215116E7)</f>
        <v>96215116</v>
      </c>
      <c r="I28" s="32">
        <f>IFERROR(__xludf.DUMMYFUNCTION("""COMPUTED_VALUE"""),45779.66666666667)</f>
        <v>45779.66667</v>
      </c>
      <c r="J28" s="25">
        <f>IFERROR(__xludf.DUMMYFUNCTION("""COMPUTED_VALUE"""),210.0)</f>
        <v>210</v>
      </c>
      <c r="K28" s="25">
        <f>IFERROR(__xludf.DUMMYFUNCTION("""COMPUTED_VALUE"""),214.56)</f>
        <v>214.56</v>
      </c>
      <c r="L28" s="25">
        <f>IFERROR(__xludf.DUMMYFUNCTION("""COMPUTED_VALUE"""),202.16)</f>
        <v>202.16</v>
      </c>
      <c r="M28" s="25">
        <f>IFERROR(__xludf.DUMMYFUNCTION("""COMPUTED_VALUE"""),205.35)</f>
        <v>205.35</v>
      </c>
      <c r="N28" s="25">
        <f>IFERROR(__xludf.DUMMYFUNCTION("""COMPUTED_VALUE"""),2.86233457E8)</f>
        <v>286233457</v>
      </c>
      <c r="P28" s="32">
        <f>IFERROR(__xludf.DUMMYFUNCTION("""COMPUTED_VALUE"""),45779.66666666667)</f>
        <v>45779.66667</v>
      </c>
      <c r="Q28" s="25">
        <f>IFERROR(__xludf.DUMMYFUNCTION("""COMPUTED_VALUE"""),391.96)</f>
        <v>391.96</v>
      </c>
      <c r="R28" s="25">
        <f>IFERROR(__xludf.DUMMYFUNCTION("""COMPUTED_VALUE"""),439.44)</f>
        <v>439.44</v>
      </c>
      <c r="S28" s="25">
        <f>IFERROR(__xludf.DUMMYFUNCTION("""COMPUTED_VALUE"""),384.44)</f>
        <v>384.44</v>
      </c>
      <c r="T28" s="25">
        <f>IFERROR(__xludf.DUMMYFUNCTION("""COMPUTED_VALUE"""),435.28)</f>
        <v>435.28</v>
      </c>
      <c r="U28" s="25">
        <f>IFERROR(__xludf.DUMMYFUNCTION("""COMPUTED_VALUE"""),1.57710015E8)</f>
        <v>157710015</v>
      </c>
      <c r="W28" s="32">
        <f>IFERROR(__xludf.DUMMYFUNCTION("""COMPUTED_VALUE"""),45779.66666666667)</f>
        <v>45779.66667</v>
      </c>
      <c r="X28" s="25">
        <f>IFERROR(__xludf.DUMMYFUNCTION("""COMPUTED_VALUE"""),244.56)</f>
        <v>244.56</v>
      </c>
      <c r="Y28" s="25">
        <f>IFERROR(__xludf.DUMMYFUNCTION("""COMPUTED_VALUE"""),253.62)</f>
        <v>253.62</v>
      </c>
      <c r="Z28" s="25">
        <f>IFERROR(__xludf.DUMMYFUNCTION("""COMPUTED_VALUE"""),238.43)</f>
        <v>238.43</v>
      </c>
      <c r="AA28" s="25">
        <f>IFERROR(__xludf.DUMMYFUNCTION("""COMPUTED_VALUE"""),252.51)</f>
        <v>252.51</v>
      </c>
      <c r="AB28" s="25">
        <f>IFERROR(__xludf.DUMMYFUNCTION("""COMPUTED_VALUE"""),4.3457407E7)</f>
        <v>43457407</v>
      </c>
      <c r="AD28" s="32">
        <f>IFERROR(__xludf.DUMMYFUNCTION("""COMPUTED_VALUE"""),45779.66666666667)</f>
        <v>45779.66667</v>
      </c>
      <c r="AE28" s="25">
        <f>IFERROR(__xludf.DUMMYFUNCTION("""COMPUTED_VALUE"""),190.11)</f>
        <v>190.11</v>
      </c>
      <c r="AF28" s="25">
        <f>IFERROR(__xludf.DUMMYFUNCTION("""COMPUTED_VALUE"""),192.88)</f>
        <v>192.88</v>
      </c>
      <c r="AG28" s="25">
        <f>IFERROR(__xludf.DUMMYFUNCTION("""COMPUTED_VALUE"""),178.85)</f>
        <v>178.85</v>
      </c>
      <c r="AH28" s="25">
        <f>IFERROR(__xludf.DUMMYFUNCTION("""COMPUTED_VALUE"""),189.98)</f>
        <v>189.98</v>
      </c>
      <c r="AI28" s="25">
        <f>IFERROR(__xludf.DUMMYFUNCTION("""COMPUTED_VALUE"""),2.8223798E8)</f>
        <v>282237980</v>
      </c>
      <c r="AK28" s="32">
        <f>IFERROR(__xludf.DUMMYFUNCTION("""COMPUTED_VALUE"""),45779.66666666667)</f>
        <v>45779.66667</v>
      </c>
      <c r="AL28" s="25">
        <f>IFERROR(__xludf.DUMMYFUNCTION("""COMPUTED_VALUE"""),288.98)</f>
        <v>288.98</v>
      </c>
      <c r="AM28" s="25">
        <f>IFERROR(__xludf.DUMMYFUNCTION("""COMPUTED_VALUE"""),294.86)</f>
        <v>294.86</v>
      </c>
      <c r="AN28" s="25">
        <f>IFERROR(__xludf.DUMMYFUNCTION("""COMPUTED_VALUE"""),270.78)</f>
        <v>270.78</v>
      </c>
      <c r="AO28" s="25">
        <f>IFERROR(__xludf.DUMMYFUNCTION("""COMPUTED_VALUE"""),287.21)</f>
        <v>287.21</v>
      </c>
      <c r="AP28" s="25">
        <f>IFERROR(__xludf.DUMMYFUNCTION("""COMPUTED_VALUE"""),6.03713038E8)</f>
        <v>603713038</v>
      </c>
    </row>
    <row r="29">
      <c r="B29" s="27">
        <f>IFERROR(__xludf.DUMMYFUNCTION("""COMPUTED_VALUE"""),45786.66666666667)</f>
        <v>45786.66667</v>
      </c>
      <c r="C29" s="25">
        <f>IFERROR(__xludf.DUMMYFUNCTION("""COMPUTED_VALUE"""),164.52)</f>
        <v>164.52</v>
      </c>
      <c r="D29" s="25">
        <f>IFERROR(__xludf.DUMMYFUNCTION("""COMPUTED_VALUE"""),167.1)</f>
        <v>167.1</v>
      </c>
      <c r="E29" s="25">
        <f>IFERROR(__xludf.DUMMYFUNCTION("""COMPUTED_VALUE"""),149.49)</f>
        <v>149.49</v>
      </c>
      <c r="F29" s="25">
        <f>IFERROR(__xludf.DUMMYFUNCTION("""COMPUTED_VALUE"""),154.38)</f>
        <v>154.38</v>
      </c>
      <c r="G29" s="25">
        <f>IFERROR(__xludf.DUMMYFUNCTION("""COMPUTED_VALUE"""),1.66160263E8)</f>
        <v>166160263</v>
      </c>
      <c r="I29" s="32">
        <f>IFERROR(__xludf.DUMMYFUNCTION("""COMPUTED_VALUE"""),45786.66666666667)</f>
        <v>45786.66667</v>
      </c>
      <c r="J29" s="25">
        <f>IFERROR(__xludf.DUMMYFUNCTION("""COMPUTED_VALUE"""),203.1)</f>
        <v>203.1</v>
      </c>
      <c r="K29" s="25">
        <f>IFERROR(__xludf.DUMMYFUNCTION("""COMPUTED_VALUE"""),204.1)</f>
        <v>204.1</v>
      </c>
      <c r="L29" s="25">
        <f>IFERROR(__xludf.DUMMYFUNCTION("""COMPUTED_VALUE"""),193.25)</f>
        <v>193.25</v>
      </c>
      <c r="M29" s="25">
        <f>IFERROR(__xludf.DUMMYFUNCTION("""COMPUTED_VALUE"""),198.53)</f>
        <v>198.53</v>
      </c>
      <c r="N29" s="25">
        <f>IFERROR(__xludf.DUMMYFUNCTION("""COMPUTED_VALUE"""),2.75784672E8)</f>
        <v>275784672</v>
      </c>
      <c r="P29" s="32">
        <f>IFERROR(__xludf.DUMMYFUNCTION("""COMPUTED_VALUE"""),45786.66666666667)</f>
        <v>45786.66667</v>
      </c>
      <c r="Q29" s="25">
        <f>IFERROR(__xludf.DUMMYFUNCTION("""COMPUTED_VALUE"""),432.87)</f>
        <v>432.87</v>
      </c>
      <c r="R29" s="25">
        <f>IFERROR(__xludf.DUMMYFUNCTION("""COMPUTED_VALUE"""),443.67)</f>
        <v>443.67</v>
      </c>
      <c r="S29" s="25">
        <f>IFERROR(__xludf.DUMMYFUNCTION("""COMPUTED_VALUE"""),431.11)</f>
        <v>431.11</v>
      </c>
      <c r="T29" s="25">
        <f>IFERROR(__xludf.DUMMYFUNCTION("""COMPUTED_VALUE"""),438.73)</f>
        <v>438.73</v>
      </c>
      <c r="U29" s="25">
        <f>IFERROR(__xludf.DUMMYFUNCTION("""COMPUTED_VALUE"""),9.7363061E7)</f>
        <v>97363061</v>
      </c>
      <c r="W29" s="32">
        <f>IFERROR(__xludf.DUMMYFUNCTION("""COMPUTED_VALUE"""),45786.66666666667)</f>
        <v>45786.66667</v>
      </c>
      <c r="X29" s="25">
        <f>IFERROR(__xludf.DUMMYFUNCTION("""COMPUTED_VALUE"""),251.18)</f>
        <v>251.18</v>
      </c>
      <c r="Y29" s="25">
        <f>IFERROR(__xludf.DUMMYFUNCTION("""COMPUTED_VALUE"""),255.88)</f>
        <v>255.88</v>
      </c>
      <c r="Z29" s="25">
        <f>IFERROR(__xludf.DUMMYFUNCTION("""COMPUTED_VALUE"""),248.83)</f>
        <v>248.83</v>
      </c>
      <c r="AA29" s="25">
        <f>IFERROR(__xludf.DUMMYFUNCTION("""COMPUTED_VALUE"""),253.08)</f>
        <v>253.08</v>
      </c>
      <c r="AB29" s="25">
        <f>IFERROR(__xludf.DUMMYFUNCTION("""COMPUTED_VALUE"""),3.3952702E7)</f>
        <v>33952702</v>
      </c>
      <c r="AD29" s="32">
        <f>IFERROR(__xludf.DUMMYFUNCTION("""COMPUTED_VALUE"""),45786.66666666667)</f>
        <v>45786.66667</v>
      </c>
      <c r="AE29" s="25">
        <f>IFERROR(__xludf.DUMMYFUNCTION("""COMPUTED_VALUE"""),186.51)</f>
        <v>186.51</v>
      </c>
      <c r="AF29" s="25">
        <f>IFERROR(__xludf.DUMMYFUNCTION("""COMPUTED_VALUE"""),194.69)</f>
        <v>194.69</v>
      </c>
      <c r="AG29" s="25">
        <f>IFERROR(__xludf.DUMMYFUNCTION("""COMPUTED_VALUE"""),183.85)</f>
        <v>183.85</v>
      </c>
      <c r="AH29" s="25">
        <f>IFERROR(__xludf.DUMMYFUNCTION("""COMPUTED_VALUE"""),193.06)</f>
        <v>193.06</v>
      </c>
      <c r="AI29" s="25">
        <f>IFERROR(__xludf.DUMMYFUNCTION("""COMPUTED_VALUE"""),1.79241213E8)</f>
        <v>179241213</v>
      </c>
      <c r="AK29" s="32">
        <f>IFERROR(__xludf.DUMMYFUNCTION("""COMPUTED_VALUE"""),45786.66666666667)</f>
        <v>45786.66667</v>
      </c>
      <c r="AL29" s="25">
        <f>IFERROR(__xludf.DUMMYFUNCTION("""COMPUTED_VALUE"""),284.57)</f>
        <v>284.57</v>
      </c>
      <c r="AM29" s="25">
        <f>IFERROR(__xludf.DUMMYFUNCTION("""COMPUTED_VALUE"""),307.04)</f>
        <v>307.04</v>
      </c>
      <c r="AN29" s="25">
        <f>IFERROR(__xludf.DUMMYFUNCTION("""COMPUTED_VALUE"""),271.0)</f>
        <v>271</v>
      </c>
      <c r="AO29" s="25">
        <f>IFERROR(__xludf.DUMMYFUNCTION("""COMPUTED_VALUE"""),298.26)</f>
        <v>298.26</v>
      </c>
      <c r="AP29" s="25">
        <f>IFERROR(__xludf.DUMMYFUNCTION("""COMPUTED_VALUE"""),4.73144365E8)</f>
        <v>473144365</v>
      </c>
    </row>
    <row r="30">
      <c r="B30" s="27">
        <f>IFERROR(__xludf.DUMMYFUNCTION("""COMPUTED_VALUE"""),45793.66666666667)</f>
        <v>45793.66667</v>
      </c>
      <c r="C30" s="25">
        <f>IFERROR(__xludf.DUMMYFUNCTION("""COMPUTED_VALUE"""),159.1)</f>
        <v>159.1</v>
      </c>
      <c r="D30" s="25">
        <f>IFERROR(__xludf.DUMMYFUNCTION("""COMPUTED_VALUE"""),170.65)</f>
        <v>170.65</v>
      </c>
      <c r="E30" s="25">
        <f>IFERROR(__xludf.DUMMYFUNCTION("""COMPUTED_VALUE"""),157.58)</f>
        <v>157.58</v>
      </c>
      <c r="F30" s="25">
        <f>IFERROR(__xludf.DUMMYFUNCTION("""COMPUTED_VALUE"""),167.43)</f>
        <v>167.43</v>
      </c>
      <c r="G30" s="25">
        <f>IFERROR(__xludf.DUMMYFUNCTION("""COMPUTED_VALUE"""),1.47587312E8)</f>
        <v>147587312</v>
      </c>
      <c r="I30" s="32">
        <f>IFERROR(__xludf.DUMMYFUNCTION("""COMPUTED_VALUE"""),45793.66666666667)</f>
        <v>45793.66667</v>
      </c>
      <c r="J30" s="25">
        <f>IFERROR(__xludf.DUMMYFUNCTION("""COMPUTED_VALUE"""),210.97)</f>
        <v>210.97</v>
      </c>
      <c r="K30" s="25">
        <f>IFERROR(__xludf.DUMMYFUNCTION("""COMPUTED_VALUE"""),213.94)</f>
        <v>213.94</v>
      </c>
      <c r="L30" s="25">
        <f>IFERROR(__xludf.DUMMYFUNCTION("""COMPUTED_VALUE"""),206.75)</f>
        <v>206.75</v>
      </c>
      <c r="M30" s="25">
        <f>IFERROR(__xludf.DUMMYFUNCTION("""COMPUTED_VALUE"""),211.26)</f>
        <v>211.26</v>
      </c>
      <c r="N30" s="25">
        <f>IFERROR(__xludf.DUMMYFUNCTION("""COMPUTED_VALUE"""),2.64778294E8)</f>
        <v>264778294</v>
      </c>
      <c r="P30" s="32">
        <f>IFERROR(__xludf.DUMMYFUNCTION("""COMPUTED_VALUE"""),45793.66666666667)</f>
        <v>45793.66667</v>
      </c>
      <c r="Q30" s="25">
        <f>IFERROR(__xludf.DUMMYFUNCTION("""COMPUTED_VALUE"""),445.94)</f>
        <v>445.94</v>
      </c>
      <c r="R30" s="25">
        <f>IFERROR(__xludf.DUMMYFUNCTION("""COMPUTED_VALUE"""),456.19)</f>
        <v>456.19</v>
      </c>
      <c r="S30" s="25">
        <f>IFERROR(__xludf.DUMMYFUNCTION("""COMPUTED_VALUE"""),439.78)</f>
        <v>439.78</v>
      </c>
      <c r="T30" s="25">
        <f>IFERROR(__xludf.DUMMYFUNCTION("""COMPUTED_VALUE"""),454.27)</f>
        <v>454.27</v>
      </c>
      <c r="U30" s="25">
        <f>IFERROR(__xludf.DUMMYFUNCTION("""COMPUTED_VALUE"""),1.12185654E8)</f>
        <v>112185654</v>
      </c>
      <c r="W30" s="32">
        <f>IFERROR(__xludf.DUMMYFUNCTION("""COMPUTED_VALUE"""),45793.66666666667)</f>
        <v>45793.66667</v>
      </c>
      <c r="X30" s="25">
        <f>IFERROR(__xludf.DUMMYFUNCTION("""COMPUTED_VALUE"""),262.9)</f>
        <v>262.9</v>
      </c>
      <c r="Y30" s="25">
        <f>IFERROR(__xludf.DUMMYFUNCTION("""COMPUTED_VALUE"""),269.52)</f>
        <v>269.52</v>
      </c>
      <c r="Z30" s="25">
        <f>IFERROR(__xludf.DUMMYFUNCTION("""COMPUTED_VALUE"""),258.7)</f>
        <v>258.7</v>
      </c>
      <c r="AA30" s="25">
        <f>IFERROR(__xludf.DUMMYFUNCTION("""COMPUTED_VALUE"""),267.56)</f>
        <v>267.56</v>
      </c>
      <c r="AB30" s="25">
        <f>IFERROR(__xludf.DUMMYFUNCTION("""COMPUTED_VALUE"""),4.4983466E7)</f>
        <v>44983466</v>
      </c>
      <c r="AD30" s="32">
        <f>IFERROR(__xludf.DUMMYFUNCTION("""COMPUTED_VALUE"""),45793.66666666667)</f>
        <v>45793.66667</v>
      </c>
      <c r="AE30" s="25">
        <f>IFERROR(__xludf.DUMMYFUNCTION("""COMPUTED_VALUE"""),210.71)</f>
        <v>210.71</v>
      </c>
      <c r="AF30" s="25">
        <f>IFERROR(__xludf.DUMMYFUNCTION("""COMPUTED_VALUE"""),214.84)</f>
        <v>214.84</v>
      </c>
      <c r="AG30" s="25">
        <f>IFERROR(__xludf.DUMMYFUNCTION("""COMPUTED_VALUE"""),202.67)</f>
        <v>202.67</v>
      </c>
      <c r="AH30" s="25">
        <f>IFERROR(__xludf.DUMMYFUNCTION("""COMPUTED_VALUE"""),205.59)</f>
        <v>205.59</v>
      </c>
      <c r="AI30" s="25">
        <f>IFERROR(__xludf.DUMMYFUNCTION("""COMPUTED_VALUE"""),2.77556647E8)</f>
        <v>277556647</v>
      </c>
      <c r="AK30" s="32">
        <f>IFERROR(__xludf.DUMMYFUNCTION("""COMPUTED_VALUE"""),45793.66666666667)</f>
        <v>45793.66667</v>
      </c>
      <c r="AL30" s="25">
        <f>IFERROR(__xludf.DUMMYFUNCTION("""COMPUTED_VALUE"""),321.99)</f>
        <v>321.99</v>
      </c>
      <c r="AM30" s="25">
        <f>IFERROR(__xludf.DUMMYFUNCTION("""COMPUTED_VALUE"""),351.62)</f>
        <v>351.62</v>
      </c>
      <c r="AN30" s="25">
        <f>IFERROR(__xludf.DUMMYFUNCTION("""COMPUTED_VALUE"""),311.5)</f>
        <v>311.5</v>
      </c>
      <c r="AO30" s="25">
        <f>IFERROR(__xludf.DUMMYFUNCTION("""COMPUTED_VALUE"""),349.98)</f>
        <v>349.98</v>
      </c>
      <c r="AP30" s="25">
        <f>IFERROR(__xludf.DUMMYFUNCTION("""COMPUTED_VALUE"""),5.8059476E8)</f>
        <v>580594760</v>
      </c>
    </row>
    <row r="31">
      <c r="B31" s="27">
        <f>IFERROR(__xludf.DUMMYFUNCTION("""COMPUTED_VALUE"""),45800.66666666667)</f>
        <v>45800.66667</v>
      </c>
      <c r="C31" s="25">
        <f>IFERROR(__xludf.DUMMYFUNCTION("""COMPUTED_VALUE"""),165.72)</f>
        <v>165.72</v>
      </c>
      <c r="D31" s="25">
        <f>IFERROR(__xludf.DUMMYFUNCTION("""COMPUTED_VALUE"""),174.53)</f>
        <v>174.53</v>
      </c>
      <c r="E31" s="25">
        <f>IFERROR(__xludf.DUMMYFUNCTION("""COMPUTED_VALUE"""),164.26)</f>
        <v>164.26</v>
      </c>
      <c r="F31" s="25">
        <f>IFERROR(__xludf.DUMMYFUNCTION("""COMPUTED_VALUE"""),169.59)</f>
        <v>169.59</v>
      </c>
      <c r="G31" s="25">
        <f>IFERROR(__xludf.DUMMYFUNCTION("""COMPUTED_VALUE"""),1.26641559E8)</f>
        <v>126641559</v>
      </c>
      <c r="I31" s="32">
        <f>IFERROR(__xludf.DUMMYFUNCTION("""COMPUTED_VALUE"""),45800.66666666667)</f>
        <v>45800.66667</v>
      </c>
      <c r="J31" s="25">
        <f>IFERROR(__xludf.DUMMYFUNCTION("""COMPUTED_VALUE"""),207.91)</f>
        <v>207.91</v>
      </c>
      <c r="K31" s="25">
        <f>IFERROR(__xludf.DUMMYFUNCTION("""COMPUTED_VALUE"""),209.48)</f>
        <v>209.48</v>
      </c>
      <c r="L31" s="25">
        <f>IFERROR(__xludf.DUMMYFUNCTION("""COMPUTED_VALUE"""),193.46)</f>
        <v>193.46</v>
      </c>
      <c r="M31" s="25">
        <f>IFERROR(__xludf.DUMMYFUNCTION("""COMPUTED_VALUE"""),195.27)</f>
        <v>195.27</v>
      </c>
      <c r="N31" s="25">
        <f>IFERROR(__xludf.DUMMYFUNCTION("""COMPUTED_VALUE"""),2.27818288E8)</f>
        <v>227818288</v>
      </c>
      <c r="P31" s="32">
        <f>IFERROR(__xludf.DUMMYFUNCTION("""COMPUTED_VALUE"""),45800.66666666667)</f>
        <v>45800.66667</v>
      </c>
      <c r="Q31" s="25">
        <f>IFERROR(__xludf.DUMMYFUNCTION("""COMPUTED_VALUE"""),450.88)</f>
        <v>450.88</v>
      </c>
      <c r="R31" s="25">
        <f>IFERROR(__xludf.DUMMYFUNCTION("""COMPUTED_VALUE"""),460.25)</f>
        <v>460.25</v>
      </c>
      <c r="S31" s="25">
        <f>IFERROR(__xludf.DUMMYFUNCTION("""COMPUTED_VALUE"""),448.91)</f>
        <v>448.91</v>
      </c>
      <c r="T31" s="25">
        <f>IFERROR(__xludf.DUMMYFUNCTION("""COMPUTED_VALUE"""),450.18)</f>
        <v>450.18</v>
      </c>
      <c r="U31" s="25">
        <f>IFERROR(__xludf.DUMMYFUNCTION("""COMPUTED_VALUE"""),9.0904344E7)</f>
        <v>90904344</v>
      </c>
      <c r="W31" s="32">
        <f>IFERROR(__xludf.DUMMYFUNCTION("""COMPUTED_VALUE"""),45800.66666666667)</f>
        <v>45800.66667</v>
      </c>
      <c r="X31" s="25">
        <f>IFERROR(__xludf.DUMMYFUNCTION("""COMPUTED_VALUE"""),265.55)</f>
        <v>265.55</v>
      </c>
      <c r="Y31" s="25">
        <f>IFERROR(__xludf.DUMMYFUNCTION("""COMPUTED_VALUE"""),268.32)</f>
        <v>268.32</v>
      </c>
      <c r="Z31" s="25">
        <f>IFERROR(__xludf.DUMMYFUNCTION("""COMPUTED_VALUE"""),256.0)</f>
        <v>256</v>
      </c>
      <c r="AA31" s="25">
        <f>IFERROR(__xludf.DUMMYFUNCTION("""COMPUTED_VALUE"""),260.71)</f>
        <v>260.71</v>
      </c>
      <c r="AB31" s="25">
        <f>IFERROR(__xludf.DUMMYFUNCTION("""COMPUTED_VALUE"""),3.4860829E7)</f>
        <v>34860829</v>
      </c>
      <c r="AD31" s="32">
        <f>IFERROR(__xludf.DUMMYFUNCTION("""COMPUTED_VALUE"""),45800.66666666667)</f>
        <v>45800.66667</v>
      </c>
      <c r="AE31" s="25">
        <f>IFERROR(__xludf.DUMMYFUNCTION("""COMPUTED_VALUE"""),201.65)</f>
        <v>201.65</v>
      </c>
      <c r="AF31" s="25">
        <f>IFERROR(__xludf.DUMMYFUNCTION("""COMPUTED_VALUE"""),206.62)</f>
        <v>206.62</v>
      </c>
      <c r="AG31" s="25">
        <f>IFERROR(__xludf.DUMMYFUNCTION("""COMPUTED_VALUE"""),197.85)</f>
        <v>197.85</v>
      </c>
      <c r="AH31" s="25">
        <f>IFERROR(__xludf.DUMMYFUNCTION("""COMPUTED_VALUE"""),200.99)</f>
        <v>200.99</v>
      </c>
      <c r="AI31" s="25">
        <f>IFERROR(__xludf.DUMMYFUNCTION("""COMPUTED_VALUE"""),1.40206127E8)</f>
        <v>140206127</v>
      </c>
      <c r="AK31" s="32">
        <f>IFERROR(__xludf.DUMMYFUNCTION("""COMPUTED_VALUE"""),45800.66666666667)</f>
        <v>45800.66667</v>
      </c>
      <c r="AL31" s="25">
        <f>IFERROR(__xludf.DUMMYFUNCTION("""COMPUTED_VALUE"""),336.3)</f>
        <v>336.3</v>
      </c>
      <c r="AM31" s="25">
        <f>IFERROR(__xludf.DUMMYFUNCTION("""COMPUTED_VALUE"""),354.99)</f>
        <v>354.99</v>
      </c>
      <c r="AN31" s="25">
        <f>IFERROR(__xludf.DUMMYFUNCTION("""COMPUTED_VALUE"""),332.2)</f>
        <v>332.2</v>
      </c>
      <c r="AO31" s="25">
        <f>IFERROR(__xludf.DUMMYFUNCTION("""COMPUTED_VALUE"""),339.34)</f>
        <v>339.34</v>
      </c>
      <c r="AP31" s="25">
        <f>IFERROR(__xludf.DUMMYFUNCTION("""COMPUTED_VALUE"""),4.13057276E8)</f>
        <v>413057276</v>
      </c>
    </row>
    <row r="32">
      <c r="B32" s="27">
        <f>IFERROR(__xludf.DUMMYFUNCTION("""COMPUTED_VALUE"""),45807.66666666667)</f>
        <v>45807.66667</v>
      </c>
      <c r="C32" s="25">
        <f>IFERROR(__xludf.DUMMYFUNCTION("""COMPUTED_VALUE"""),171.3)</f>
        <v>171.3</v>
      </c>
      <c r="D32" s="25">
        <f>IFERROR(__xludf.DUMMYFUNCTION("""COMPUTED_VALUE"""),176.48)</f>
        <v>176.48</v>
      </c>
      <c r="E32" s="25">
        <f>IFERROR(__xludf.DUMMYFUNCTION("""COMPUTED_VALUE"""),168.53)</f>
        <v>168.53</v>
      </c>
      <c r="F32" s="25">
        <f>IFERROR(__xludf.DUMMYFUNCTION("""COMPUTED_VALUE"""),172.85)</f>
        <v>172.85</v>
      </c>
      <c r="G32" s="25">
        <f>IFERROR(__xludf.DUMMYFUNCTION("""COMPUTED_VALUE"""),1.07832405E8)</f>
        <v>107832405</v>
      </c>
      <c r="I32" s="32">
        <f>IFERROR(__xludf.DUMMYFUNCTION("""COMPUTED_VALUE"""),45807.66666666667)</f>
        <v>45807.66667</v>
      </c>
      <c r="J32" s="25">
        <f>IFERROR(__xludf.DUMMYFUNCTION("""COMPUTED_VALUE"""),198.3)</f>
        <v>198.3</v>
      </c>
      <c r="K32" s="25">
        <f>IFERROR(__xludf.DUMMYFUNCTION("""COMPUTED_VALUE"""),203.81)</f>
        <v>203.81</v>
      </c>
      <c r="L32" s="25">
        <f>IFERROR(__xludf.DUMMYFUNCTION("""COMPUTED_VALUE"""),196.78)</f>
        <v>196.78</v>
      </c>
      <c r="M32" s="25">
        <f>IFERROR(__xludf.DUMMYFUNCTION("""COMPUTED_VALUE"""),200.85)</f>
        <v>200.85</v>
      </c>
      <c r="N32" s="25">
        <f>IFERROR(__xludf.DUMMYFUNCTION("""COMPUTED_VALUE"""),2.23926033E8)</f>
        <v>223926033</v>
      </c>
      <c r="P32" s="32">
        <f>IFERROR(__xludf.DUMMYFUNCTION("""COMPUTED_VALUE"""),45807.66666666667)</f>
        <v>45807.66667</v>
      </c>
      <c r="Q32" s="25">
        <f>IFERROR(__xludf.DUMMYFUNCTION("""COMPUTED_VALUE"""),456.48)</f>
        <v>456.48</v>
      </c>
      <c r="R32" s="25">
        <f>IFERROR(__xludf.DUMMYFUNCTION("""COMPUTED_VALUE"""),462.52)</f>
        <v>462.52</v>
      </c>
      <c r="S32" s="25">
        <f>IFERROR(__xludf.DUMMYFUNCTION("""COMPUTED_VALUE"""),455.31)</f>
        <v>455.31</v>
      </c>
      <c r="T32" s="25">
        <f>IFERROR(__xludf.DUMMYFUNCTION("""COMPUTED_VALUE"""),460.36)</f>
        <v>460.36</v>
      </c>
      <c r="U32" s="25">
        <f>IFERROR(__xludf.DUMMYFUNCTION("""COMPUTED_VALUE"""),8.681324E7)</f>
        <v>86813240</v>
      </c>
      <c r="W32" s="32">
        <f>IFERROR(__xludf.DUMMYFUNCTION("""COMPUTED_VALUE"""),45807.66666666667)</f>
        <v>45807.66667</v>
      </c>
      <c r="X32" s="25">
        <f>IFERROR(__xludf.DUMMYFUNCTION("""COMPUTED_VALUE"""),262.04)</f>
        <v>262.04</v>
      </c>
      <c r="Y32" s="25">
        <f>IFERROR(__xludf.DUMMYFUNCTION("""COMPUTED_VALUE"""),266.72)</f>
        <v>266.72</v>
      </c>
      <c r="Z32" s="25">
        <f>IFERROR(__xludf.DUMMYFUNCTION("""COMPUTED_VALUE"""),261.99)</f>
        <v>261.99</v>
      </c>
      <c r="AA32" s="25">
        <f>IFERROR(__xludf.DUMMYFUNCTION("""COMPUTED_VALUE"""),264.0)</f>
        <v>264</v>
      </c>
      <c r="AB32" s="25">
        <f>IFERROR(__xludf.DUMMYFUNCTION("""COMPUTED_VALUE"""),2.9101617E7)</f>
        <v>29101617</v>
      </c>
      <c r="AD32" s="32">
        <f>IFERROR(__xludf.DUMMYFUNCTION("""COMPUTED_VALUE"""),45807.66666666667)</f>
        <v>45807.66667</v>
      </c>
      <c r="AE32" s="25">
        <f>IFERROR(__xludf.DUMMYFUNCTION("""COMPUTED_VALUE"""),203.09)</f>
        <v>203.09</v>
      </c>
      <c r="AF32" s="25">
        <f>IFERROR(__xludf.DUMMYFUNCTION("""COMPUTED_VALUE"""),208.81)</f>
        <v>208.81</v>
      </c>
      <c r="AG32" s="25">
        <f>IFERROR(__xludf.DUMMYFUNCTION("""COMPUTED_VALUE"""),201.7)</f>
        <v>201.7</v>
      </c>
      <c r="AH32" s="25">
        <f>IFERROR(__xludf.DUMMYFUNCTION("""COMPUTED_VALUE"""),205.01)</f>
        <v>205.01</v>
      </c>
      <c r="AI32" s="25">
        <f>IFERROR(__xludf.DUMMYFUNCTION("""COMPUTED_VALUE"""),1.49821208E8)</f>
        <v>149821208</v>
      </c>
      <c r="AK32" s="32">
        <f>IFERROR(__xludf.DUMMYFUNCTION("""COMPUTED_VALUE"""),45807.66666666667)</f>
        <v>45807.66667</v>
      </c>
      <c r="AL32" s="25">
        <f>IFERROR(__xludf.DUMMYFUNCTION("""COMPUTED_VALUE"""),347.35)</f>
        <v>347.35</v>
      </c>
      <c r="AM32" s="25">
        <f>IFERROR(__xludf.DUMMYFUNCTION("""COMPUTED_VALUE"""),367.71)</f>
        <v>367.71</v>
      </c>
      <c r="AN32" s="25">
        <f>IFERROR(__xludf.DUMMYFUNCTION("""COMPUTED_VALUE"""),345.29)</f>
        <v>345.29</v>
      </c>
      <c r="AO32" s="25">
        <f>IFERROR(__xludf.DUMMYFUNCTION("""COMPUTED_VALUE"""),346.46)</f>
        <v>346.46</v>
      </c>
      <c r="AP32" s="25">
        <f>IFERROR(__xludf.DUMMYFUNCTION("""COMPUTED_VALUE"""),4.23571327E8)</f>
        <v>423571327</v>
      </c>
    </row>
    <row r="33">
      <c r="B33" s="27">
        <f>IFERROR(__xludf.DUMMYFUNCTION("""COMPUTED_VALUE"""),45814.66666666667)</f>
        <v>45814.66667</v>
      </c>
      <c r="C33" s="25">
        <f>IFERROR(__xludf.DUMMYFUNCTION("""COMPUTED_VALUE"""),169.01)</f>
        <v>169.01</v>
      </c>
      <c r="D33" s="25">
        <f>IFERROR(__xludf.DUMMYFUNCTION("""COMPUTED_VALUE"""),175.83)</f>
        <v>175.83</v>
      </c>
      <c r="E33" s="25">
        <f>IFERROR(__xludf.DUMMYFUNCTION("""COMPUTED_VALUE"""),166.68)</f>
        <v>166.68</v>
      </c>
      <c r="F33" s="25">
        <f>IFERROR(__xludf.DUMMYFUNCTION("""COMPUTED_VALUE"""),174.92)</f>
        <v>174.92</v>
      </c>
      <c r="G33" s="25">
        <f>IFERROR(__xludf.DUMMYFUNCTION("""COMPUTED_VALUE"""),1.16319323E8)</f>
        <v>116319323</v>
      </c>
      <c r="I33" s="32">
        <f>IFERROR(__xludf.DUMMYFUNCTION("""COMPUTED_VALUE"""),45814.66666666667)</f>
        <v>45814.66667</v>
      </c>
      <c r="J33" s="25">
        <f>IFERROR(__xludf.DUMMYFUNCTION("""COMPUTED_VALUE"""),200.28)</f>
        <v>200.28</v>
      </c>
      <c r="K33" s="25">
        <f>IFERROR(__xludf.DUMMYFUNCTION("""COMPUTED_VALUE"""),206.24)</f>
        <v>206.24</v>
      </c>
      <c r="L33" s="25">
        <f>IFERROR(__xludf.DUMMYFUNCTION("""COMPUTED_VALUE"""),200.12)</f>
        <v>200.12</v>
      </c>
      <c r="M33" s="25">
        <f>IFERROR(__xludf.DUMMYFUNCTION("""COMPUTED_VALUE"""),203.92)</f>
        <v>203.92</v>
      </c>
      <c r="N33" s="25">
        <f>IFERROR(__xludf.DUMMYFUNCTION("""COMPUTED_VALUE"""),2.27237774E8)</f>
        <v>227237774</v>
      </c>
      <c r="P33" s="32">
        <f>IFERROR(__xludf.DUMMYFUNCTION("""COMPUTED_VALUE"""),45814.66666666667)</f>
        <v>45814.66667</v>
      </c>
      <c r="Q33" s="25">
        <f>IFERROR(__xludf.DUMMYFUNCTION("""COMPUTED_VALUE"""),457.14)</f>
        <v>457.14</v>
      </c>
      <c r="R33" s="25">
        <f>IFERROR(__xludf.DUMMYFUNCTION("""COMPUTED_VALUE"""),473.34)</f>
        <v>473.34</v>
      </c>
      <c r="S33" s="25">
        <f>IFERROR(__xludf.DUMMYFUNCTION("""COMPUTED_VALUE"""),456.89)</f>
        <v>456.89</v>
      </c>
      <c r="T33" s="25">
        <f>IFERROR(__xludf.DUMMYFUNCTION("""COMPUTED_VALUE"""),470.38)</f>
        <v>470.38</v>
      </c>
      <c r="U33" s="25">
        <f>IFERROR(__xludf.DUMMYFUNCTION("""COMPUTED_VALUE"""),8.1973027E7)</f>
        <v>81973027</v>
      </c>
      <c r="W33" s="32">
        <f>IFERROR(__xludf.DUMMYFUNCTION("""COMPUTED_VALUE"""),45814.66666666667)</f>
        <v>45814.66667</v>
      </c>
      <c r="X33" s="25">
        <f>IFERROR(__xludf.DUMMYFUNCTION("""COMPUTED_VALUE"""),263.02)</f>
        <v>263.02</v>
      </c>
      <c r="Y33" s="25">
        <f>IFERROR(__xludf.DUMMYFUNCTION("""COMPUTED_VALUE"""),267.12)</f>
        <v>267.12</v>
      </c>
      <c r="Z33" s="25">
        <f>IFERROR(__xludf.DUMMYFUNCTION("""COMPUTED_VALUE"""),260.31)</f>
        <v>260.31</v>
      </c>
      <c r="AA33" s="25">
        <f>IFERROR(__xludf.DUMMYFUNCTION("""COMPUTED_VALUE"""),265.73)</f>
        <v>265.73</v>
      </c>
      <c r="AB33" s="25">
        <f>IFERROR(__xludf.DUMMYFUNCTION("""COMPUTED_VALUE"""),3.484265E7)</f>
        <v>34842650</v>
      </c>
      <c r="AD33" s="32">
        <f>IFERROR(__xludf.DUMMYFUNCTION("""COMPUTED_VALUE"""),45814.66666666667)</f>
        <v>45814.66667</v>
      </c>
      <c r="AE33" s="25">
        <f>IFERROR(__xludf.DUMMYFUNCTION("""COMPUTED_VALUE"""),204.98)</f>
        <v>204.98</v>
      </c>
      <c r="AF33" s="25">
        <f>IFERROR(__xludf.DUMMYFUNCTION("""COMPUTED_VALUE"""),213.87)</f>
        <v>213.87</v>
      </c>
      <c r="AG33" s="25">
        <f>IFERROR(__xludf.DUMMYFUNCTION("""COMPUTED_VALUE"""),202.68)</f>
        <v>202.68</v>
      </c>
      <c r="AH33" s="25">
        <f>IFERROR(__xludf.DUMMYFUNCTION("""COMPUTED_VALUE"""),213.57)</f>
        <v>213.57</v>
      </c>
      <c r="AI33" s="25">
        <f>IFERROR(__xludf.DUMMYFUNCTION("""COMPUTED_VALUE"""),1.83979775E8)</f>
        <v>183979775</v>
      </c>
      <c r="AK33" s="32">
        <f>IFERROR(__xludf.DUMMYFUNCTION("""COMPUTED_VALUE"""),45814.66666666667)</f>
        <v>45814.66667</v>
      </c>
      <c r="AL33" s="25">
        <f>IFERROR(__xludf.DUMMYFUNCTION("""COMPUTED_VALUE"""),343.5)</f>
        <v>343.5</v>
      </c>
      <c r="AM33" s="25">
        <f>IFERROR(__xludf.DUMMYFUNCTION("""COMPUTED_VALUE"""),355.4)</f>
        <v>355.4</v>
      </c>
      <c r="AN33" s="25">
        <f>IFERROR(__xludf.DUMMYFUNCTION("""COMPUTED_VALUE"""),273.21)</f>
        <v>273.21</v>
      </c>
      <c r="AO33" s="25">
        <f>IFERROR(__xludf.DUMMYFUNCTION("""COMPUTED_VALUE"""),295.14)</f>
        <v>295.14</v>
      </c>
      <c r="AP33" s="25">
        <f>IFERROR(__xludf.DUMMYFUNCTION("""COMPUTED_VALUE"""),7.37676788E8)</f>
        <v>737676788</v>
      </c>
    </row>
    <row r="34">
      <c r="B34" s="27">
        <f>IFERROR(__xludf.DUMMYFUNCTION("""COMPUTED_VALUE"""),45821.66666666667)</f>
        <v>45821.66667</v>
      </c>
      <c r="C34" s="25">
        <f>IFERROR(__xludf.DUMMYFUNCTION("""COMPUTED_VALUE"""),175.87)</f>
        <v>175.87</v>
      </c>
      <c r="D34" s="25">
        <f>IFERROR(__xludf.DUMMYFUNCTION("""COMPUTED_VALUE"""),182.45)</f>
        <v>182.45</v>
      </c>
      <c r="E34" s="25">
        <f>IFERROR(__xludf.DUMMYFUNCTION("""COMPUTED_VALUE"""),173.57)</f>
        <v>173.57</v>
      </c>
      <c r="F34" s="25">
        <f>IFERROR(__xludf.DUMMYFUNCTION("""COMPUTED_VALUE"""),175.88)</f>
        <v>175.88</v>
      </c>
      <c r="G34" s="25">
        <f>IFERROR(__xludf.DUMMYFUNCTION("""COMPUTED_VALUE"""),1.0893915E8)</f>
        <v>108939150</v>
      </c>
      <c r="I34" s="32">
        <f>IFERROR(__xludf.DUMMYFUNCTION("""COMPUTED_VALUE"""),45821.66666666667)</f>
        <v>45821.66667</v>
      </c>
      <c r="J34" s="25">
        <f>IFERROR(__xludf.DUMMYFUNCTION("""COMPUTED_VALUE"""),204.39)</f>
        <v>204.39</v>
      </c>
      <c r="K34" s="25">
        <f>IFERROR(__xludf.DUMMYFUNCTION("""COMPUTED_VALUE"""),206.0)</f>
        <v>206</v>
      </c>
      <c r="L34" s="25">
        <f>IFERROR(__xludf.DUMMYFUNCTION("""COMPUTED_VALUE"""),195.7)</f>
        <v>195.7</v>
      </c>
      <c r="M34" s="25">
        <f>IFERROR(__xludf.DUMMYFUNCTION("""COMPUTED_VALUE"""),196.45)</f>
        <v>196.45</v>
      </c>
      <c r="N34" s="25">
        <f>IFERROR(__xludf.DUMMYFUNCTION("""COMPUTED_VALUE"""),2.83877006E8)</f>
        <v>283877006</v>
      </c>
      <c r="P34" s="32">
        <f>IFERROR(__xludf.DUMMYFUNCTION("""COMPUTED_VALUE"""),45821.66666666667)</f>
        <v>45821.66667</v>
      </c>
      <c r="Q34" s="25">
        <f>IFERROR(__xludf.DUMMYFUNCTION("""COMPUTED_VALUE"""),469.7)</f>
        <v>469.7</v>
      </c>
      <c r="R34" s="25">
        <f>IFERROR(__xludf.DUMMYFUNCTION("""COMPUTED_VALUE"""),480.42)</f>
        <v>480.42</v>
      </c>
      <c r="S34" s="25">
        <f>IFERROR(__xludf.DUMMYFUNCTION("""COMPUTED_VALUE"""),466.96)</f>
        <v>466.96</v>
      </c>
      <c r="T34" s="25">
        <f>IFERROR(__xludf.DUMMYFUNCTION("""COMPUTED_VALUE"""),474.96)</f>
        <v>474.96</v>
      </c>
      <c r="U34" s="25">
        <f>IFERROR(__xludf.DUMMYFUNCTION("""COMPUTED_VALUE"""),8.401009E7)</f>
        <v>84010090</v>
      </c>
      <c r="W34" s="32">
        <f>IFERROR(__xludf.DUMMYFUNCTION("""COMPUTED_VALUE"""),45821.66666666667)</f>
        <v>45821.66667</v>
      </c>
      <c r="X34" s="25">
        <f>IFERROR(__xludf.DUMMYFUNCTION("""COMPUTED_VALUE"""),266.0)</f>
        <v>266</v>
      </c>
      <c r="Y34" s="25">
        <f>IFERROR(__xludf.DUMMYFUNCTION("""COMPUTED_VALUE"""),269.62)</f>
        <v>269.62</v>
      </c>
      <c r="Z34" s="25">
        <f>IFERROR(__xludf.DUMMYFUNCTION("""COMPUTED_VALUE"""),262.71)</f>
        <v>262.71</v>
      </c>
      <c r="AA34" s="25">
        <f>IFERROR(__xludf.DUMMYFUNCTION("""COMPUTED_VALUE"""),264.95)</f>
        <v>264.95</v>
      </c>
      <c r="AB34" s="25">
        <f>IFERROR(__xludf.DUMMYFUNCTION("""COMPUTED_VALUE"""),3.6973854E7)</f>
        <v>36973854</v>
      </c>
      <c r="AD34" s="32">
        <f>IFERROR(__xludf.DUMMYFUNCTION("""COMPUTED_VALUE"""),45821.66666666667)</f>
        <v>45821.66667</v>
      </c>
      <c r="AE34" s="25">
        <f>IFERROR(__xludf.DUMMYFUNCTION("""COMPUTED_VALUE"""),214.75)</f>
        <v>214.75</v>
      </c>
      <c r="AF34" s="25">
        <f>IFERROR(__xludf.DUMMYFUNCTION("""COMPUTED_VALUE"""),218.4)</f>
        <v>218.4</v>
      </c>
      <c r="AG34" s="25">
        <f>IFERROR(__xludf.DUMMYFUNCTION("""COMPUTED_VALUE"""),209.62)</f>
        <v>209.62</v>
      </c>
      <c r="AH34" s="25">
        <f>IFERROR(__xludf.DUMMYFUNCTION("""COMPUTED_VALUE"""),212.1)</f>
        <v>212.1</v>
      </c>
      <c r="AI34" s="25">
        <f>IFERROR(__xludf.DUMMYFUNCTION("""COMPUTED_VALUE"""),1.65709554E8)</f>
        <v>165709554</v>
      </c>
      <c r="AK34" s="32">
        <f>IFERROR(__xludf.DUMMYFUNCTION("""COMPUTED_VALUE"""),45821.66666666667)</f>
        <v>45821.66667</v>
      </c>
      <c r="AL34" s="25">
        <f>IFERROR(__xludf.DUMMYFUNCTION("""COMPUTED_VALUE"""),285.96)</f>
        <v>285.96</v>
      </c>
      <c r="AM34" s="25">
        <f>IFERROR(__xludf.DUMMYFUNCTION("""COMPUTED_VALUE"""),335.5)</f>
        <v>335.5</v>
      </c>
      <c r="AN34" s="25">
        <f>IFERROR(__xludf.DUMMYFUNCTION("""COMPUTED_VALUE"""),281.85)</f>
        <v>281.85</v>
      </c>
      <c r="AO34" s="25">
        <f>IFERROR(__xludf.DUMMYFUNCTION("""COMPUTED_VALUE"""),325.31)</f>
        <v>325.31</v>
      </c>
      <c r="AP34" s="25">
        <f>IFERROR(__xludf.DUMMYFUNCTION("""COMPUTED_VALUE"""),6.48868571E8)</f>
        <v>648868571</v>
      </c>
    </row>
    <row r="35">
      <c r="B35" s="27">
        <f>IFERROR(__xludf.DUMMYFUNCTION("""COMPUTED_VALUE"""),45828.66666666667)</f>
        <v>45828.66667</v>
      </c>
      <c r="C35" s="25">
        <f>IFERROR(__xludf.DUMMYFUNCTION("""COMPUTED_VALUE"""),175.91)</f>
        <v>175.91</v>
      </c>
      <c r="D35" s="25">
        <f>IFERROR(__xludf.DUMMYFUNCTION("""COMPUTED_VALUE"""),178.72)</f>
        <v>178.72</v>
      </c>
      <c r="E35" s="25">
        <f>IFERROR(__xludf.DUMMYFUNCTION("""COMPUTED_VALUE"""),166.27)</f>
        <v>166.27</v>
      </c>
      <c r="F35" s="25">
        <f>IFERROR(__xludf.DUMMYFUNCTION("""COMPUTED_VALUE"""),167.73)</f>
        <v>167.73</v>
      </c>
      <c r="G35" s="25">
        <f>IFERROR(__xludf.DUMMYFUNCTION("""COMPUTED_VALUE"""),1.23722985E8)</f>
        <v>123722985</v>
      </c>
      <c r="I35" s="32">
        <f>IFERROR(__xludf.DUMMYFUNCTION("""COMPUTED_VALUE"""),45828.66666666667)</f>
        <v>45828.66667</v>
      </c>
      <c r="J35" s="25">
        <f>IFERROR(__xludf.DUMMYFUNCTION("""COMPUTED_VALUE"""),197.3)</f>
        <v>197.3</v>
      </c>
      <c r="K35" s="25">
        <f>IFERROR(__xludf.DUMMYFUNCTION("""COMPUTED_VALUE"""),201.7)</f>
        <v>201.7</v>
      </c>
      <c r="L35" s="25">
        <f>IFERROR(__xludf.DUMMYFUNCTION("""COMPUTED_VALUE"""),195.07)</f>
        <v>195.07</v>
      </c>
      <c r="M35" s="25">
        <f>IFERROR(__xludf.DUMMYFUNCTION("""COMPUTED_VALUE"""),201.0)</f>
        <v>201</v>
      </c>
      <c r="N35" s="25">
        <f>IFERROR(__xludf.DUMMYFUNCTION("""COMPUTED_VALUE"""),2.24085074E8)</f>
        <v>224085074</v>
      </c>
      <c r="P35" s="32">
        <f>IFERROR(__xludf.DUMMYFUNCTION("""COMPUTED_VALUE"""),45828.66666666667)</f>
        <v>45828.66667</v>
      </c>
      <c r="Q35" s="25">
        <f>IFERROR(__xludf.DUMMYFUNCTION("""COMPUTED_VALUE"""),475.21)</f>
        <v>475.21</v>
      </c>
      <c r="R35" s="25">
        <f>IFERROR(__xludf.DUMMYFUNCTION("""COMPUTED_VALUE"""),483.46)</f>
        <v>483.46</v>
      </c>
      <c r="S35" s="25">
        <f>IFERROR(__xludf.DUMMYFUNCTION("""COMPUTED_VALUE"""),474.08)</f>
        <v>474.08</v>
      </c>
      <c r="T35" s="25">
        <f>IFERROR(__xludf.DUMMYFUNCTION("""COMPUTED_VALUE"""),477.4)</f>
        <v>477.4</v>
      </c>
      <c r="U35" s="25">
        <f>IFERROR(__xludf.DUMMYFUNCTION("""COMPUTED_VALUE"""),8.614289E7)</f>
        <v>86142890</v>
      </c>
      <c r="W35" s="32">
        <f>IFERROR(__xludf.DUMMYFUNCTION("""COMPUTED_VALUE"""),45828.66666666667)</f>
        <v>45828.66667</v>
      </c>
      <c r="X35" s="25">
        <f>IFERROR(__xludf.DUMMYFUNCTION("""COMPUTED_VALUE"""),267.0)</f>
        <v>267</v>
      </c>
      <c r="Y35" s="25">
        <f>IFERROR(__xludf.DUMMYFUNCTION("""COMPUTED_VALUE"""),277.72)</f>
        <v>277.72</v>
      </c>
      <c r="Z35" s="25">
        <f>IFERROR(__xludf.DUMMYFUNCTION("""COMPUTED_VALUE"""),266.85)</f>
        <v>266.85</v>
      </c>
      <c r="AA35" s="25">
        <f>IFERROR(__xludf.DUMMYFUNCTION("""COMPUTED_VALUE"""),275.0)</f>
        <v>275</v>
      </c>
      <c r="AB35" s="25">
        <f>IFERROR(__xludf.DUMMYFUNCTION("""COMPUTED_VALUE"""),3.8861395E7)</f>
        <v>38861395</v>
      </c>
      <c r="AD35" s="32">
        <f>IFERROR(__xludf.DUMMYFUNCTION("""COMPUTED_VALUE"""),45828.66666666667)</f>
        <v>45828.66667</v>
      </c>
      <c r="AE35" s="25">
        <f>IFERROR(__xludf.DUMMYFUNCTION("""COMPUTED_VALUE"""),212.31)</f>
        <v>212.31</v>
      </c>
      <c r="AF35" s="25">
        <f>IFERROR(__xludf.DUMMYFUNCTION("""COMPUTED_VALUE"""),217.96)</f>
        <v>217.96</v>
      </c>
      <c r="AG35" s="25">
        <f>IFERROR(__xludf.DUMMYFUNCTION("""COMPUTED_VALUE"""),208.27)</f>
        <v>208.27</v>
      </c>
      <c r="AH35" s="25">
        <f>IFERROR(__xludf.DUMMYFUNCTION("""COMPUTED_VALUE"""),209.69)</f>
        <v>209.69</v>
      </c>
      <c r="AI35" s="25">
        <f>IFERROR(__xludf.DUMMYFUNCTION("""COMPUTED_VALUE"""),1.85081662E8)</f>
        <v>185081662</v>
      </c>
      <c r="AK35" s="32">
        <f>IFERROR(__xludf.DUMMYFUNCTION("""COMPUTED_VALUE"""),45828.66666666667)</f>
        <v>45828.66667</v>
      </c>
      <c r="AL35" s="25">
        <f>IFERROR(__xludf.DUMMYFUNCTION("""COMPUTED_VALUE"""),331.29)</f>
        <v>331.29</v>
      </c>
      <c r="AM35" s="25">
        <f>IFERROR(__xludf.DUMMYFUNCTION("""COMPUTED_VALUE"""),332.36)</f>
        <v>332.36</v>
      </c>
      <c r="AN35" s="25">
        <f>IFERROR(__xludf.DUMMYFUNCTION("""COMPUTED_VALUE"""),314.74)</f>
        <v>314.74</v>
      </c>
      <c r="AO35" s="25">
        <f>IFERROR(__xludf.DUMMYFUNCTION("""COMPUTED_VALUE"""),322.16)</f>
        <v>322.16</v>
      </c>
      <c r="AP35" s="25">
        <f>IFERROR(__xludf.DUMMYFUNCTION("""COMPUTED_VALUE"""),3.76034221E8)</f>
        <v>376034221</v>
      </c>
    </row>
    <row r="36">
      <c r="B36" s="27">
        <f>IFERROR(__xludf.DUMMYFUNCTION("""COMPUTED_VALUE"""),45835.66666666667)</f>
        <v>45835.66667</v>
      </c>
      <c r="C36" s="25">
        <f>IFERROR(__xludf.DUMMYFUNCTION("""COMPUTED_VALUE"""),167.32)</f>
        <v>167.32</v>
      </c>
      <c r="D36" s="25">
        <f>IFERROR(__xludf.DUMMYFUNCTION("""COMPUTED_VALUE"""),178.84)</f>
        <v>178.84</v>
      </c>
      <c r="E36" s="25">
        <f>IFERROR(__xludf.DUMMYFUNCTION("""COMPUTED_VALUE"""),163.33)</f>
        <v>163.33</v>
      </c>
      <c r="F36" s="25">
        <f>IFERROR(__xludf.DUMMYFUNCTION("""COMPUTED_VALUE"""),178.27)</f>
        <v>178.27</v>
      </c>
      <c r="G36" s="25">
        <f>IFERROR(__xludf.DUMMYFUNCTION("""COMPUTED_VALUE"""),1.87875435E8)</f>
        <v>187875435</v>
      </c>
      <c r="I36" s="32">
        <f>IFERROR(__xludf.DUMMYFUNCTION("""COMPUTED_VALUE"""),45835.66666666667)</f>
        <v>45835.66667</v>
      </c>
      <c r="J36" s="25">
        <f>IFERROR(__xludf.DUMMYFUNCTION("""COMPUTED_VALUE"""),201.63)</f>
        <v>201.63</v>
      </c>
      <c r="K36" s="25">
        <f>IFERROR(__xludf.DUMMYFUNCTION("""COMPUTED_VALUE"""),203.67)</f>
        <v>203.67</v>
      </c>
      <c r="L36" s="25">
        <f>IFERROR(__xludf.DUMMYFUNCTION("""COMPUTED_VALUE"""),198.96)</f>
        <v>198.96</v>
      </c>
      <c r="M36" s="25">
        <f>IFERROR(__xludf.DUMMYFUNCTION("""COMPUTED_VALUE"""),201.08)</f>
        <v>201.08</v>
      </c>
      <c r="N36" s="25">
        <f>IFERROR(__xludf.DUMMYFUNCTION("""COMPUTED_VALUE"""),2.73391727E8)</f>
        <v>273391727</v>
      </c>
      <c r="P36" s="32">
        <f>IFERROR(__xludf.DUMMYFUNCTION("""COMPUTED_VALUE"""),45835.66666666667)</f>
        <v>45835.66667</v>
      </c>
      <c r="Q36" s="25">
        <f>IFERROR(__xludf.DUMMYFUNCTION("""COMPUTED_VALUE"""),478.21)</f>
        <v>478.21</v>
      </c>
      <c r="R36" s="25">
        <f>IFERROR(__xludf.DUMMYFUNCTION("""COMPUTED_VALUE"""),499.3)</f>
        <v>499.3</v>
      </c>
      <c r="S36" s="25">
        <f>IFERROR(__xludf.DUMMYFUNCTION("""COMPUTED_VALUE"""),472.51)</f>
        <v>472.51</v>
      </c>
      <c r="T36" s="25">
        <f>IFERROR(__xludf.DUMMYFUNCTION("""COMPUTED_VALUE"""),495.94)</f>
        <v>495.94</v>
      </c>
      <c r="U36" s="25">
        <f>IFERROR(__xludf.DUMMYFUNCTION("""COMPUTED_VALUE"""),1.20782782E8)</f>
        <v>120782782</v>
      </c>
      <c r="W36" s="32">
        <f>IFERROR(__xludf.DUMMYFUNCTION("""COMPUTED_VALUE"""),45835.66666666667)</f>
        <v>45835.66667</v>
      </c>
      <c r="X36" s="25">
        <f>IFERROR(__xludf.DUMMYFUNCTION("""COMPUTED_VALUE"""),275.06)</f>
        <v>275.06</v>
      </c>
      <c r="Y36" s="25">
        <f>IFERROR(__xludf.DUMMYFUNCTION("""COMPUTED_VALUE"""),289.41)</f>
        <v>289.41</v>
      </c>
      <c r="Z36" s="25">
        <f>IFERROR(__xludf.DUMMYFUNCTION("""COMPUTED_VALUE"""),272.11)</f>
        <v>272.11</v>
      </c>
      <c r="AA36" s="25">
        <f>IFERROR(__xludf.DUMMYFUNCTION("""COMPUTED_VALUE"""),287.11)</f>
        <v>287.11</v>
      </c>
      <c r="AB36" s="25">
        <f>IFERROR(__xludf.DUMMYFUNCTION("""COMPUTED_VALUE"""),5.1000096E7)</f>
        <v>51000096</v>
      </c>
      <c r="AD36" s="32">
        <f>IFERROR(__xludf.DUMMYFUNCTION("""COMPUTED_VALUE"""),45835.66666666667)</f>
        <v>45835.66667</v>
      </c>
      <c r="AE36" s="25">
        <f>IFERROR(__xludf.DUMMYFUNCTION("""COMPUTED_VALUE"""),209.79)</f>
        <v>209.79</v>
      </c>
      <c r="AF36" s="25">
        <f>IFERROR(__xludf.DUMMYFUNCTION("""COMPUTED_VALUE"""),223.3)</f>
        <v>223.3</v>
      </c>
      <c r="AG36" s="25">
        <f>IFERROR(__xludf.DUMMYFUNCTION("""COMPUTED_VALUE"""),207.31)</f>
        <v>207.31</v>
      </c>
      <c r="AH36" s="25">
        <f>IFERROR(__xludf.DUMMYFUNCTION("""COMPUTED_VALUE"""),223.3)</f>
        <v>223.3</v>
      </c>
      <c r="AI36" s="25">
        <f>IFERROR(__xludf.DUMMYFUNCTION("""COMPUTED_VALUE"""),2.77144132E8)</f>
        <v>277144132</v>
      </c>
      <c r="AK36" s="32">
        <f>IFERROR(__xludf.DUMMYFUNCTION("""COMPUTED_VALUE"""),45835.66666666667)</f>
        <v>45835.66667</v>
      </c>
      <c r="AL36" s="25">
        <f>IFERROR(__xludf.DUMMYFUNCTION("""COMPUTED_VALUE"""),327.54)</f>
        <v>327.54</v>
      </c>
      <c r="AM36" s="25">
        <f>IFERROR(__xludf.DUMMYFUNCTION("""COMPUTED_VALUE"""),357.54)</f>
        <v>357.54</v>
      </c>
      <c r="AN36" s="25">
        <f>IFERROR(__xludf.DUMMYFUNCTION("""COMPUTED_VALUE"""),317.5)</f>
        <v>317.5</v>
      </c>
      <c r="AO36" s="25">
        <f>IFERROR(__xludf.DUMMYFUNCTION("""COMPUTED_VALUE"""),323.63)</f>
        <v>323.63</v>
      </c>
      <c r="AP36" s="25">
        <f>IFERROR(__xludf.DUMMYFUNCTION("""COMPUTED_VALUE"""),5.94806066E8)</f>
        <v>594806066</v>
      </c>
    </row>
    <row r="37">
      <c r="B37" s="27">
        <f>IFERROR(__xludf.DUMMYFUNCTION("""COMPUTED_VALUE"""),45841.54513888889)</f>
        <v>45841.54514</v>
      </c>
      <c r="C37" s="25">
        <f>IFERROR(__xludf.DUMMYFUNCTION("""COMPUTED_VALUE"""),180.79)</f>
        <v>180.79</v>
      </c>
      <c r="D37" s="25">
        <f>IFERROR(__xludf.DUMMYFUNCTION("""COMPUTED_VALUE"""),181.58)</f>
        <v>181.58</v>
      </c>
      <c r="E37" s="25">
        <f>IFERROR(__xludf.DUMMYFUNCTION("""COMPUTED_VALUE"""),174.66)</f>
        <v>174.66</v>
      </c>
      <c r="F37" s="25">
        <f>IFERROR(__xludf.DUMMYFUNCTION("""COMPUTED_VALUE"""),180.55)</f>
        <v>180.55</v>
      </c>
      <c r="G37" s="25">
        <f>IFERROR(__xludf.DUMMYFUNCTION("""COMPUTED_VALUE"""),1.02356309E8)</f>
        <v>102356309</v>
      </c>
      <c r="I37" s="32">
        <f>IFERROR(__xludf.DUMMYFUNCTION("""COMPUTED_VALUE"""),45841.54513888889)</f>
        <v>45841.54514</v>
      </c>
      <c r="J37" s="25">
        <f>IFERROR(__xludf.DUMMYFUNCTION("""COMPUTED_VALUE"""),202.01)</f>
        <v>202.01</v>
      </c>
      <c r="K37" s="25">
        <f>IFERROR(__xludf.DUMMYFUNCTION("""COMPUTED_VALUE"""),214.65)</f>
        <v>214.65</v>
      </c>
      <c r="L37" s="25">
        <f>IFERROR(__xludf.DUMMYFUNCTION("""COMPUTED_VALUE"""),199.26)</f>
        <v>199.26</v>
      </c>
      <c r="M37" s="25">
        <f>IFERROR(__xludf.DUMMYFUNCTION("""COMPUTED_VALUE"""),213.55)</f>
        <v>213.55</v>
      </c>
      <c r="N37" s="25">
        <f>IFERROR(__xludf.DUMMYFUNCTION("""COMPUTED_VALUE"""),2.7359933E8)</f>
        <v>273599330</v>
      </c>
      <c r="P37" s="32">
        <f>IFERROR(__xludf.DUMMYFUNCTION("""COMPUTED_VALUE"""),45841.54513888889)</f>
        <v>45841.54514</v>
      </c>
      <c r="Q37" s="25">
        <f>IFERROR(__xludf.DUMMYFUNCTION("""COMPUTED_VALUE"""),497.04)</f>
        <v>497.04</v>
      </c>
      <c r="R37" s="25">
        <f>IFERROR(__xludf.DUMMYFUNCTION("""COMPUTED_VALUE"""),500.76)</f>
        <v>500.76</v>
      </c>
      <c r="S37" s="25">
        <f>IFERROR(__xludf.DUMMYFUNCTION("""COMPUTED_VALUE"""),488.7)</f>
        <v>488.7</v>
      </c>
      <c r="T37" s="25">
        <f>IFERROR(__xludf.DUMMYFUNCTION("""COMPUTED_VALUE"""),498.84)</f>
        <v>498.84</v>
      </c>
      <c r="U37" s="25">
        <f>IFERROR(__xludf.DUMMYFUNCTION("""COMPUTED_VALUE"""),7.8618836E7)</f>
        <v>78618836</v>
      </c>
      <c r="W37" s="32">
        <f>IFERROR(__xludf.DUMMYFUNCTION("""COMPUTED_VALUE"""),45841.54166666667)</f>
        <v>45841.54167</v>
      </c>
      <c r="X37" s="25">
        <f>IFERROR(__xludf.DUMMYFUNCTION("""COMPUTED_VALUE"""),290.4)</f>
        <v>290.4</v>
      </c>
      <c r="Y37" s="25">
        <f>IFERROR(__xludf.DUMMYFUNCTION("""COMPUTED_VALUE"""),296.4)</f>
        <v>296.4</v>
      </c>
      <c r="Z37" s="25">
        <f>IFERROR(__xludf.DUMMYFUNCTION("""COMPUTED_VALUE"""),286.59)</f>
        <v>286.59</v>
      </c>
      <c r="AA37" s="25">
        <f>IFERROR(__xludf.DUMMYFUNCTION("""COMPUTED_VALUE"""),296.0)</f>
        <v>296</v>
      </c>
      <c r="AB37" s="25">
        <f>IFERROR(__xludf.DUMMYFUNCTION("""COMPUTED_VALUE"""),3.6727754E7)</f>
        <v>36727754</v>
      </c>
      <c r="AD37" s="32">
        <f>IFERROR(__xludf.DUMMYFUNCTION("""COMPUTED_VALUE"""),45841.54513888889)</f>
        <v>45841.54514</v>
      </c>
      <c r="AE37" s="25">
        <f>IFERROR(__xludf.DUMMYFUNCTION("""COMPUTED_VALUE"""),223.52)</f>
        <v>223.52</v>
      </c>
      <c r="AF37" s="25">
        <f>IFERROR(__xludf.DUMMYFUNCTION("""COMPUTED_VALUE"""),224.01)</f>
        <v>224.01</v>
      </c>
      <c r="AG37" s="25">
        <f>IFERROR(__xludf.DUMMYFUNCTION("""COMPUTED_VALUE"""),217.93)</f>
        <v>217.93</v>
      </c>
      <c r="AH37" s="25">
        <f>IFERROR(__xludf.DUMMYFUNCTION("""COMPUTED_VALUE"""),223.41)</f>
        <v>223.41</v>
      </c>
      <c r="AI37" s="25">
        <f>IFERROR(__xludf.DUMMYFUNCTION("""COMPUTED_VALUE"""),1.58671141E8)</f>
        <v>158671141</v>
      </c>
      <c r="AK37" s="32">
        <f>IFERROR(__xludf.DUMMYFUNCTION("""COMPUTED_VALUE"""),45841.54513888889)</f>
        <v>45841.54514</v>
      </c>
      <c r="AL37" s="25">
        <f>IFERROR(__xludf.DUMMYFUNCTION("""COMPUTED_VALUE"""),319.9)</f>
        <v>319.9</v>
      </c>
      <c r="AM37" s="25">
        <f>IFERROR(__xludf.DUMMYFUNCTION("""COMPUTED_VALUE"""),325.58)</f>
        <v>325.58</v>
      </c>
      <c r="AN37" s="25">
        <f>IFERROR(__xludf.DUMMYFUNCTION("""COMPUTED_VALUE"""),293.21)</f>
        <v>293.21</v>
      </c>
      <c r="AO37" s="25">
        <f>IFERROR(__xludf.DUMMYFUNCTION("""COMPUTED_VALUE"""),315.35)</f>
        <v>315.35</v>
      </c>
      <c r="AP37" s="25">
        <f>IFERROR(__xludf.DUMMYFUNCTION("""COMPUTED_VALUE"""),3.99306778E8)</f>
        <v>399306778</v>
      </c>
    </row>
    <row r="38">
      <c r="B38" s="27">
        <f>IFERROR(__xludf.DUMMYFUNCTION("""COMPUTED_VALUE"""),45849.66666666667)</f>
        <v>45849.66667</v>
      </c>
      <c r="C38" s="25">
        <f>IFERROR(__xludf.DUMMYFUNCTION("""COMPUTED_VALUE"""),180.14)</f>
        <v>180.14</v>
      </c>
      <c r="D38" s="25">
        <f>IFERROR(__xludf.DUMMYFUNCTION("""COMPUTED_VALUE"""),182.61)</f>
        <v>182.61</v>
      </c>
      <c r="E38" s="25">
        <f>IFERROR(__xludf.DUMMYFUNCTION("""COMPUTED_VALUE"""),173.88)</f>
        <v>173.88</v>
      </c>
      <c r="F38" s="25">
        <f>IFERROR(__xludf.DUMMYFUNCTION("""COMPUTED_VALUE"""),181.31)</f>
        <v>181.31</v>
      </c>
      <c r="G38" s="25">
        <f>IFERROR(__xludf.DUMMYFUNCTION("""COMPUTED_VALUE"""),1.2505746E8)</f>
        <v>125057460</v>
      </c>
      <c r="I38" s="32">
        <f>IFERROR(__xludf.DUMMYFUNCTION("""COMPUTED_VALUE"""),45849.66666666667)</f>
        <v>45849.66667</v>
      </c>
      <c r="J38" s="25">
        <f>IFERROR(__xludf.DUMMYFUNCTION("""COMPUTED_VALUE"""),212.68)</f>
        <v>212.68</v>
      </c>
      <c r="K38" s="25">
        <f>IFERROR(__xludf.DUMMYFUNCTION("""COMPUTED_VALUE"""),216.23)</f>
        <v>216.23</v>
      </c>
      <c r="L38" s="25">
        <f>IFERROR(__xludf.DUMMYFUNCTION("""COMPUTED_VALUE"""),207.22)</f>
        <v>207.22</v>
      </c>
      <c r="M38" s="25">
        <f>IFERROR(__xludf.DUMMYFUNCTION("""COMPUTED_VALUE"""),211.16)</f>
        <v>211.16</v>
      </c>
      <c r="N38" s="25">
        <f>IFERROR(__xludf.DUMMYFUNCTION("""COMPUTED_VALUE"""),2.26036726E8)</f>
        <v>226036726</v>
      </c>
      <c r="P38" s="32">
        <f>IFERROR(__xludf.DUMMYFUNCTION("""COMPUTED_VALUE"""),45849.66666666667)</f>
        <v>45849.66667</v>
      </c>
      <c r="Q38" s="25">
        <f>IFERROR(__xludf.DUMMYFUNCTION("""COMPUTED_VALUE"""),497.38)</f>
        <v>497.38</v>
      </c>
      <c r="R38" s="25">
        <f>IFERROR(__xludf.DUMMYFUNCTION("""COMPUTED_VALUE"""),506.78)</f>
        <v>506.78</v>
      </c>
      <c r="S38" s="25">
        <f>IFERROR(__xludf.DUMMYFUNCTION("""COMPUTED_VALUE"""),494.11)</f>
        <v>494.11</v>
      </c>
      <c r="T38" s="25">
        <f>IFERROR(__xludf.DUMMYFUNCTION("""COMPUTED_VALUE"""),503.32)</f>
        <v>503.32</v>
      </c>
      <c r="U38" s="25">
        <f>IFERROR(__xludf.DUMMYFUNCTION("""COMPUTED_VALUE"""),7.7445981E7)</f>
        <v>77445981</v>
      </c>
      <c r="W38" s="32">
        <f>IFERROR(__xludf.DUMMYFUNCTION("""COMPUTED_VALUE"""),45849.66666666667)</f>
        <v>45849.66667</v>
      </c>
      <c r="X38" s="25">
        <f>IFERROR(__xludf.DUMMYFUNCTION("""COMPUTED_VALUE"""),295.26)</f>
        <v>295.26</v>
      </c>
      <c r="Y38" s="25">
        <f>IFERROR(__xludf.DUMMYFUNCTION("""COMPUTED_VALUE"""),296.04)</f>
        <v>296.04</v>
      </c>
      <c r="Z38" s="25">
        <f>IFERROR(__xludf.DUMMYFUNCTION("""COMPUTED_VALUE"""),280.31)</f>
        <v>280.31</v>
      </c>
      <c r="AA38" s="25">
        <f>IFERROR(__xludf.DUMMYFUNCTION("""COMPUTED_VALUE"""),286.86)</f>
        <v>286.86</v>
      </c>
      <c r="AB38" s="25">
        <f>IFERROR(__xludf.DUMMYFUNCTION("""COMPUTED_VALUE"""),5.133891E7)</f>
        <v>51338910</v>
      </c>
      <c r="AD38" s="32">
        <f>IFERROR(__xludf.DUMMYFUNCTION("""COMPUTED_VALUE"""),45849.66666666667)</f>
        <v>45849.66667</v>
      </c>
      <c r="AE38" s="25">
        <f>IFERROR(__xludf.DUMMYFUNCTION("""COMPUTED_VALUE"""),223.0)</f>
        <v>223</v>
      </c>
      <c r="AF38" s="25">
        <f>IFERROR(__xludf.DUMMYFUNCTION("""COMPUTED_VALUE"""),226.68)</f>
        <v>226.68</v>
      </c>
      <c r="AG38" s="25">
        <f>IFERROR(__xludf.DUMMYFUNCTION("""COMPUTED_VALUE"""),218.43)</f>
        <v>218.43</v>
      </c>
      <c r="AH38" s="25">
        <f>IFERROR(__xludf.DUMMYFUNCTION("""COMPUTED_VALUE"""),225.02)</f>
        <v>225.02</v>
      </c>
      <c r="AI38" s="25">
        <f>IFERROR(__xludf.DUMMYFUNCTION("""COMPUTED_VALUE"""),2.01340145E8)</f>
        <v>201340145</v>
      </c>
      <c r="AK38" s="32">
        <f>IFERROR(__xludf.DUMMYFUNCTION("""COMPUTED_VALUE"""),45849.66666666667)</f>
        <v>45849.66667</v>
      </c>
      <c r="AL38" s="25">
        <f>IFERROR(__xludf.DUMMYFUNCTION("""COMPUTED_VALUE"""),291.37)</f>
        <v>291.37</v>
      </c>
      <c r="AM38" s="25">
        <f>IFERROR(__xludf.DUMMYFUNCTION("""COMPUTED_VALUE"""),314.09)</f>
        <v>314.09</v>
      </c>
      <c r="AN38" s="25">
        <f>IFERROR(__xludf.DUMMYFUNCTION("""COMPUTED_VALUE"""),288.77)</f>
        <v>288.77</v>
      </c>
      <c r="AO38" s="25">
        <f>IFERROR(__xludf.DUMMYFUNCTION("""COMPUTED_VALUE"""),313.51)</f>
        <v>313.51</v>
      </c>
      <c r="AP38" s="25">
        <f>IFERROR(__xludf.DUMMYFUNCTION("""COMPUTED_VALUE"""),4.93613175E8)</f>
        <v>493613175</v>
      </c>
    </row>
    <row r="39">
      <c r="B39" s="27">
        <f>IFERROR(__xludf.DUMMYFUNCTION("""COMPUTED_VALUE"""),45856.66666666667)</f>
        <v>45856.66667</v>
      </c>
      <c r="C39" s="25">
        <f>IFERROR(__xludf.DUMMYFUNCTION("""COMPUTED_VALUE"""),182.07)</f>
        <v>182.07</v>
      </c>
      <c r="D39" s="25">
        <f>IFERROR(__xludf.DUMMYFUNCTION("""COMPUTED_VALUE"""),187.36)</f>
        <v>187.36</v>
      </c>
      <c r="E39" s="25">
        <f>IFERROR(__xludf.DUMMYFUNCTION("""COMPUTED_VALUE"""),180.71)</f>
        <v>180.71</v>
      </c>
      <c r="F39" s="25">
        <f>IFERROR(__xludf.DUMMYFUNCTION("""COMPUTED_VALUE"""),185.94)</f>
        <v>185.94</v>
      </c>
      <c r="G39" s="25">
        <f>IFERROR(__xludf.DUMMYFUNCTION("""COMPUTED_VALUE"""),1.08742241E8)</f>
        <v>108742241</v>
      </c>
      <c r="I39" s="32">
        <f>IFERROR(__xludf.DUMMYFUNCTION("""COMPUTED_VALUE"""),45856.66666666667)</f>
        <v>45856.66667</v>
      </c>
      <c r="J39" s="25">
        <f>IFERROR(__xludf.DUMMYFUNCTION("""COMPUTED_VALUE"""),209.93)</f>
        <v>209.93</v>
      </c>
      <c r="K39" s="25">
        <f>IFERROR(__xludf.DUMMYFUNCTION("""COMPUTED_VALUE"""),212.4)</f>
        <v>212.4</v>
      </c>
      <c r="L39" s="25">
        <f>IFERROR(__xludf.DUMMYFUNCTION("""COMPUTED_VALUE"""),207.54)</f>
        <v>207.54</v>
      </c>
      <c r="M39" s="25">
        <f>IFERROR(__xludf.DUMMYFUNCTION("""COMPUTED_VALUE"""),211.18)</f>
        <v>211.18</v>
      </c>
      <c r="N39" s="25">
        <f>IFERROR(__xludf.DUMMYFUNCTION("""COMPUTED_VALUE"""),2.25669714E8)</f>
        <v>225669714</v>
      </c>
      <c r="P39" s="32">
        <f>IFERROR(__xludf.DUMMYFUNCTION("""COMPUTED_VALUE"""),45856.66666666667)</f>
        <v>45856.66667</v>
      </c>
      <c r="Q39" s="25">
        <f>IFERROR(__xludf.DUMMYFUNCTION("""COMPUTED_VALUE"""),501.52)</f>
        <v>501.52</v>
      </c>
      <c r="R39" s="25">
        <f>IFERROR(__xludf.DUMMYFUNCTION("""COMPUTED_VALUE"""),514.64)</f>
        <v>514.64</v>
      </c>
      <c r="S39" s="25">
        <f>IFERROR(__xludf.DUMMYFUNCTION("""COMPUTED_VALUE"""),501.03)</f>
        <v>501.03</v>
      </c>
      <c r="T39" s="25">
        <f>IFERROR(__xludf.DUMMYFUNCTION("""COMPUTED_VALUE"""),510.05)</f>
        <v>510.05</v>
      </c>
      <c r="U39" s="25">
        <f>IFERROR(__xludf.DUMMYFUNCTION("""COMPUTED_VALUE"""),8.0853219E7)</f>
        <v>80853219</v>
      </c>
      <c r="W39" s="32">
        <f>IFERROR(__xludf.DUMMYFUNCTION("""COMPUTED_VALUE"""),45856.66666666667)</f>
        <v>45856.66667</v>
      </c>
      <c r="X39" s="25">
        <f>IFERROR(__xludf.DUMMYFUNCTION("""COMPUTED_VALUE"""),287.07)</f>
        <v>287.07</v>
      </c>
      <c r="Y39" s="25">
        <f>IFERROR(__xludf.DUMMYFUNCTION("""COMPUTED_VALUE"""),292.5)</f>
        <v>292.5</v>
      </c>
      <c r="Z39" s="25">
        <f>IFERROR(__xludf.DUMMYFUNCTION("""COMPUTED_VALUE"""),283.01)</f>
        <v>283.01</v>
      </c>
      <c r="AA39" s="25">
        <f>IFERROR(__xludf.DUMMYFUNCTION("""COMPUTED_VALUE"""),291.27)</f>
        <v>291.27</v>
      </c>
      <c r="AB39" s="25">
        <f>IFERROR(__xludf.DUMMYFUNCTION("""COMPUTED_VALUE"""),5.2312341E7)</f>
        <v>52312341</v>
      </c>
      <c r="AD39" s="32">
        <f>IFERROR(__xludf.DUMMYFUNCTION("""COMPUTED_VALUE"""),45856.66666666667)</f>
        <v>45856.66667</v>
      </c>
      <c r="AE39" s="25">
        <f>IFERROR(__xludf.DUMMYFUNCTION("""COMPUTED_VALUE"""),225.07)</f>
        <v>225.07</v>
      </c>
      <c r="AF39" s="25">
        <f>IFERROR(__xludf.DUMMYFUNCTION("""COMPUTED_VALUE"""),227.27)</f>
        <v>227.27</v>
      </c>
      <c r="AG39" s="25">
        <f>IFERROR(__xludf.DUMMYFUNCTION("""COMPUTED_VALUE"""),222.18)</f>
        <v>222.18</v>
      </c>
      <c r="AH39" s="25">
        <f>IFERROR(__xludf.DUMMYFUNCTION("""COMPUTED_VALUE"""),226.13)</f>
        <v>226.13</v>
      </c>
      <c r="AI39" s="25">
        <f>IFERROR(__xludf.DUMMYFUNCTION("""COMPUTED_VALUE"""),1.79835455E8)</f>
        <v>179835455</v>
      </c>
      <c r="AK39" s="32">
        <f>IFERROR(__xludf.DUMMYFUNCTION("""COMPUTED_VALUE"""),45856.66666666667)</f>
        <v>45856.66667</v>
      </c>
      <c r="AL39" s="25">
        <f>IFERROR(__xludf.DUMMYFUNCTION("""COMPUTED_VALUE"""),317.73)</f>
        <v>317.73</v>
      </c>
      <c r="AM39" s="25">
        <f>IFERROR(__xludf.DUMMYFUNCTION("""COMPUTED_VALUE"""),330.9)</f>
        <v>330.9</v>
      </c>
      <c r="AN39" s="25">
        <f>IFERROR(__xludf.DUMMYFUNCTION("""COMPUTED_VALUE"""),310.5)</f>
        <v>310.5</v>
      </c>
      <c r="AO39" s="25">
        <f>IFERROR(__xludf.DUMMYFUNCTION("""COMPUTED_VALUE"""),329.65)</f>
        <v>329.65</v>
      </c>
      <c r="AP39" s="25">
        <f>IFERROR(__xludf.DUMMYFUNCTION("""COMPUTED_VALUE"""),4.21062425E8)</f>
        <v>421062425</v>
      </c>
    </row>
    <row r="40">
      <c r="B40" s="27">
        <f>IFERROR(__xludf.DUMMYFUNCTION("""COMPUTED_VALUE"""),45863.66666666667)</f>
        <v>45863.66667</v>
      </c>
      <c r="C40" s="25">
        <f>IFERROR(__xludf.DUMMYFUNCTION("""COMPUTED_VALUE"""),187.1)</f>
        <v>187.1</v>
      </c>
      <c r="D40" s="25">
        <f>IFERROR(__xludf.DUMMYFUNCTION("""COMPUTED_VALUE"""),198.97)</f>
        <v>198.97</v>
      </c>
      <c r="E40" s="25">
        <f>IFERROR(__xludf.DUMMYFUNCTION("""COMPUTED_VALUE"""),187.05)</f>
        <v>187.05</v>
      </c>
      <c r="F40" s="25">
        <f>IFERROR(__xludf.DUMMYFUNCTION("""COMPUTED_VALUE"""),194.08)</f>
        <v>194.08</v>
      </c>
      <c r="G40" s="25">
        <f>IFERROR(__xludf.DUMMYFUNCTION("""COMPUTED_VALUE"""),1.61299939E8)</f>
        <v>161299939</v>
      </c>
      <c r="I40" s="32">
        <f>IFERROR(__xludf.DUMMYFUNCTION("""COMPUTED_VALUE"""),45863.66666666667)</f>
        <v>45863.66667</v>
      </c>
      <c r="J40" s="25">
        <f>IFERROR(__xludf.DUMMYFUNCTION("""COMPUTED_VALUE"""),212.1)</f>
        <v>212.1</v>
      </c>
      <c r="K40" s="25">
        <f>IFERROR(__xludf.DUMMYFUNCTION("""COMPUTED_VALUE"""),215.78)</f>
        <v>215.78</v>
      </c>
      <c r="L40" s="25">
        <f>IFERROR(__xludf.DUMMYFUNCTION("""COMPUTED_VALUE"""),211.63)</f>
        <v>211.63</v>
      </c>
      <c r="M40" s="25">
        <f>IFERROR(__xludf.DUMMYFUNCTION("""COMPUTED_VALUE"""),213.88)</f>
        <v>213.88</v>
      </c>
      <c r="N40" s="25">
        <f>IFERROR(__xludf.DUMMYFUNCTION("""COMPUTED_VALUE"""),2.31062208E8)</f>
        <v>231062208</v>
      </c>
      <c r="P40" s="32">
        <f>IFERROR(__xludf.DUMMYFUNCTION("""COMPUTED_VALUE"""),45863.66666666667)</f>
        <v>45863.66667</v>
      </c>
      <c r="Q40" s="25">
        <f>IFERROR(__xludf.DUMMYFUNCTION("""COMPUTED_VALUE"""),506.71)</f>
        <v>506.71</v>
      </c>
      <c r="R40" s="25">
        <f>IFERROR(__xludf.DUMMYFUNCTION("""COMPUTED_VALUE"""),518.29)</f>
        <v>518.29</v>
      </c>
      <c r="S40" s="25">
        <f>IFERROR(__xludf.DUMMYFUNCTION("""COMPUTED_VALUE"""),500.7)</f>
        <v>500.7</v>
      </c>
      <c r="T40" s="25">
        <f>IFERROR(__xludf.DUMMYFUNCTION("""COMPUTED_VALUE"""),513.71)</f>
        <v>513.71</v>
      </c>
      <c r="U40" s="25">
        <f>IFERROR(__xludf.DUMMYFUNCTION("""COMPUTED_VALUE"""),7.9564733E7)</f>
        <v>79564733</v>
      </c>
      <c r="W40" s="32">
        <f>IFERROR(__xludf.DUMMYFUNCTION("""COMPUTED_VALUE"""),45863.66666666667)</f>
        <v>45863.66667</v>
      </c>
      <c r="X40" s="25">
        <f>IFERROR(__xludf.DUMMYFUNCTION("""COMPUTED_VALUE"""),291.0)</f>
        <v>291</v>
      </c>
      <c r="Y40" s="25">
        <f>IFERROR(__xludf.DUMMYFUNCTION("""COMPUTED_VALUE"""),299.59)</f>
        <v>299.59</v>
      </c>
      <c r="Z40" s="25">
        <f>IFERROR(__xludf.DUMMYFUNCTION("""COMPUTED_VALUE"""),289.18)</f>
        <v>289.18</v>
      </c>
      <c r="AA40" s="25">
        <f>IFERROR(__xludf.DUMMYFUNCTION("""COMPUTED_VALUE"""),298.62)</f>
        <v>298.62</v>
      </c>
      <c r="AB40" s="25">
        <f>IFERROR(__xludf.DUMMYFUNCTION("""COMPUTED_VALUE"""),3.4619229E7)</f>
        <v>34619229</v>
      </c>
      <c r="AD40" s="32">
        <f>IFERROR(__xludf.DUMMYFUNCTION("""COMPUTED_VALUE"""),45863.66666666667)</f>
        <v>45863.66667</v>
      </c>
      <c r="AE40" s="25">
        <f>IFERROR(__xludf.DUMMYFUNCTION("""COMPUTED_VALUE"""),225.84)</f>
        <v>225.84</v>
      </c>
      <c r="AF40" s="25">
        <f>IFERROR(__xludf.DUMMYFUNCTION("""COMPUTED_VALUE"""),236.0)</f>
        <v>236</v>
      </c>
      <c r="AG40" s="25">
        <f>IFERROR(__xludf.DUMMYFUNCTION("""COMPUTED_VALUE"""),225.65)</f>
        <v>225.65</v>
      </c>
      <c r="AH40" s="25">
        <f>IFERROR(__xludf.DUMMYFUNCTION("""COMPUTED_VALUE"""),231.44)</f>
        <v>231.44</v>
      </c>
      <c r="AI40" s="25">
        <f>IFERROR(__xludf.DUMMYFUNCTION("""COMPUTED_VALUE"""),1.77690471E8)</f>
        <v>177690471</v>
      </c>
      <c r="AK40" s="32">
        <f>IFERROR(__xludf.DUMMYFUNCTION("""COMPUTED_VALUE"""),45863.66666666667)</f>
        <v>45863.66667</v>
      </c>
      <c r="AL40" s="25">
        <f>IFERROR(__xludf.DUMMYFUNCTION("""COMPUTED_VALUE"""),334.4)</f>
        <v>334.4</v>
      </c>
      <c r="AM40" s="25">
        <f>IFERROR(__xludf.DUMMYFUNCTION("""COMPUTED_VALUE"""),338.0)</f>
        <v>338</v>
      </c>
      <c r="AN40" s="25">
        <f>IFERROR(__xludf.DUMMYFUNCTION("""COMPUTED_VALUE"""),300.41)</f>
        <v>300.41</v>
      </c>
      <c r="AO40" s="25">
        <f>IFERROR(__xludf.DUMMYFUNCTION("""COMPUTED_VALUE"""),316.06)</f>
        <v>316.06</v>
      </c>
      <c r="AP40" s="25">
        <f>IFERROR(__xludf.DUMMYFUNCTION("""COMPUTED_VALUE"""),5.50885974E8)</f>
        <v>550885974</v>
      </c>
    </row>
    <row r="41">
      <c r="B41" s="27">
        <f>IFERROR(__xludf.DUMMYFUNCTION("""COMPUTED_VALUE"""),45870.66666666667)</f>
        <v>45870.66667</v>
      </c>
      <c r="C41" s="25">
        <f>IFERROR(__xludf.DUMMYFUNCTION("""COMPUTED_VALUE"""),194.41)</f>
        <v>194.41</v>
      </c>
      <c r="D41" s="25">
        <f>IFERROR(__xludf.DUMMYFUNCTION("""COMPUTED_VALUE"""),198.48)</f>
        <v>198.48</v>
      </c>
      <c r="E41" s="25">
        <f>IFERROR(__xludf.DUMMYFUNCTION("""COMPUTED_VALUE"""),188.7)</f>
        <v>188.7</v>
      </c>
      <c r="F41" s="25">
        <f>IFERROR(__xludf.DUMMYFUNCTION("""COMPUTED_VALUE"""),189.95)</f>
        <v>189.95</v>
      </c>
      <c r="G41" s="25">
        <f>IFERROR(__xludf.DUMMYFUNCTION("""COMPUTED_VALUE"""),1.27684396E8)</f>
        <v>127684396</v>
      </c>
      <c r="I41" s="32">
        <f>IFERROR(__xludf.DUMMYFUNCTION("""COMPUTED_VALUE"""),45870.66666666667)</f>
        <v>45870.66667</v>
      </c>
      <c r="J41" s="25">
        <f>IFERROR(__xludf.DUMMYFUNCTION("""COMPUTED_VALUE"""),214.03)</f>
        <v>214.03</v>
      </c>
      <c r="K41" s="25">
        <f>IFERROR(__xludf.DUMMYFUNCTION("""COMPUTED_VALUE"""),214.85)</f>
        <v>214.85</v>
      </c>
      <c r="L41" s="25">
        <f>IFERROR(__xludf.DUMMYFUNCTION("""COMPUTED_VALUE"""),201.5)</f>
        <v>201.5</v>
      </c>
      <c r="M41" s="25">
        <f>IFERROR(__xludf.DUMMYFUNCTION("""COMPUTED_VALUE"""),202.38)</f>
        <v>202.38</v>
      </c>
      <c r="N41" s="25">
        <f>IFERROR(__xludf.DUMMYFUNCTION("""COMPUTED_VALUE"""),3.19915158E8)</f>
        <v>319915158</v>
      </c>
      <c r="P41" s="32">
        <f>IFERROR(__xludf.DUMMYFUNCTION("""COMPUTED_VALUE"""),45870.66666666667)</f>
        <v>45870.66667</v>
      </c>
      <c r="Q41" s="25">
        <f>IFERROR(__xludf.DUMMYFUNCTION("""COMPUTED_VALUE"""),514.08)</f>
        <v>514.08</v>
      </c>
      <c r="R41" s="25">
        <f>IFERROR(__xludf.DUMMYFUNCTION("""COMPUTED_VALUE"""),555.45)</f>
        <v>555.45</v>
      </c>
      <c r="S41" s="25">
        <f>IFERROR(__xludf.DUMMYFUNCTION("""COMPUTED_VALUE"""),509.44)</f>
        <v>509.44</v>
      </c>
      <c r="T41" s="25">
        <f>IFERROR(__xludf.DUMMYFUNCTION("""COMPUTED_VALUE"""),524.11)</f>
        <v>524.11</v>
      </c>
      <c r="U41" s="25">
        <f>IFERROR(__xludf.DUMMYFUNCTION("""COMPUTED_VALUE"""),1.3775265E8)</f>
        <v>137752650</v>
      </c>
      <c r="W41" s="32">
        <f>IFERROR(__xludf.DUMMYFUNCTION("""COMPUTED_VALUE"""),45870.66666666667)</f>
        <v>45870.66667</v>
      </c>
      <c r="X41" s="25">
        <f>IFERROR(__xludf.DUMMYFUNCTION("""COMPUTED_VALUE"""),297.66)</f>
        <v>297.66</v>
      </c>
      <c r="Y41" s="25">
        <f>IFERROR(__xludf.DUMMYFUNCTION("""COMPUTED_VALUE"""),301.29)</f>
        <v>301.29</v>
      </c>
      <c r="Z41" s="25">
        <f>IFERROR(__xludf.DUMMYFUNCTION("""COMPUTED_VALUE"""),284.24)</f>
        <v>284.24</v>
      </c>
      <c r="AA41" s="25">
        <f>IFERROR(__xludf.DUMMYFUNCTION("""COMPUTED_VALUE"""),289.37)</f>
        <v>289.37</v>
      </c>
      <c r="AB41" s="25">
        <f>IFERROR(__xludf.DUMMYFUNCTION("""COMPUTED_VALUE"""),4.8294641E7)</f>
        <v>48294641</v>
      </c>
      <c r="AD41" s="32">
        <f>IFERROR(__xludf.DUMMYFUNCTION("""COMPUTED_VALUE"""),45870.66666666667)</f>
        <v>45870.66667</v>
      </c>
      <c r="AE41" s="25">
        <f>IFERROR(__xludf.DUMMYFUNCTION("""COMPUTED_VALUE"""),233.35)</f>
        <v>233.35</v>
      </c>
      <c r="AF41" s="25">
        <f>IFERROR(__xludf.DUMMYFUNCTION("""COMPUTED_VALUE"""),236.53)</f>
        <v>236.53</v>
      </c>
      <c r="AG41" s="25">
        <f>IFERROR(__xludf.DUMMYFUNCTION("""COMPUTED_VALUE"""),212.8)</f>
        <v>212.8</v>
      </c>
      <c r="AH41" s="25">
        <f>IFERROR(__xludf.DUMMYFUNCTION("""COMPUTED_VALUE"""),214.75)</f>
        <v>214.75</v>
      </c>
      <c r="AI41" s="25">
        <f>IFERROR(__xludf.DUMMYFUNCTION("""COMPUTED_VALUE"""),3.19625695E8)</f>
        <v>319625695</v>
      </c>
      <c r="AK41" s="32">
        <f>IFERROR(__xludf.DUMMYFUNCTION("""COMPUTED_VALUE"""),45870.66666666667)</f>
        <v>45870.66667</v>
      </c>
      <c r="AL41" s="25">
        <f>IFERROR(__xludf.DUMMYFUNCTION("""COMPUTED_VALUE"""),318.45)</f>
        <v>318.45</v>
      </c>
      <c r="AM41" s="25">
        <f>IFERROR(__xludf.DUMMYFUNCTION("""COMPUTED_VALUE"""),330.49)</f>
        <v>330.49</v>
      </c>
      <c r="AN41" s="25">
        <f>IFERROR(__xludf.DUMMYFUNCTION("""COMPUTED_VALUE"""),297.82)</f>
        <v>297.82</v>
      </c>
      <c r="AO41" s="25">
        <f>IFERROR(__xludf.DUMMYFUNCTION("""COMPUTED_VALUE"""),302.63)</f>
        <v>302.63</v>
      </c>
      <c r="AP41" s="25">
        <f>IFERROR(__xludf.DUMMYFUNCTION("""COMPUTED_VALUE"""),4.58356923E8)</f>
        <v>458356923</v>
      </c>
    </row>
    <row r="42">
      <c r="B42" s="27">
        <f>IFERROR(__xludf.DUMMYFUNCTION("""COMPUTED_VALUE"""),45877.66666666667)</f>
        <v>45877.66667</v>
      </c>
      <c r="C42" s="25">
        <f>IFERROR(__xludf.DUMMYFUNCTION("""COMPUTED_VALUE"""),191.18)</f>
        <v>191.18</v>
      </c>
      <c r="D42" s="25">
        <f>IFERROR(__xludf.DUMMYFUNCTION("""COMPUTED_VALUE"""),203.43)</f>
        <v>203.43</v>
      </c>
      <c r="E42" s="25">
        <f>IFERROR(__xludf.DUMMYFUNCTION("""COMPUTED_VALUE"""),190.92)</f>
        <v>190.92</v>
      </c>
      <c r="F42" s="25">
        <f>IFERROR(__xludf.DUMMYFUNCTION("""COMPUTED_VALUE"""),202.09)</f>
        <v>202.09</v>
      </c>
      <c r="G42" s="25">
        <f>IFERROR(__xludf.DUMMYFUNCTION("""COMPUTED_VALUE"""),9.6820239E7)</f>
        <v>96820239</v>
      </c>
      <c r="I42" s="32">
        <f>IFERROR(__xludf.DUMMYFUNCTION("""COMPUTED_VALUE"""),45877.66666666667)</f>
        <v>45877.66667</v>
      </c>
      <c r="J42" s="25">
        <f>IFERROR(__xludf.DUMMYFUNCTION("""COMPUTED_VALUE"""),204.51)</f>
        <v>204.51</v>
      </c>
      <c r="K42" s="25">
        <f>IFERROR(__xludf.DUMMYFUNCTION("""COMPUTED_VALUE"""),231.0)</f>
        <v>231</v>
      </c>
      <c r="L42" s="25">
        <f>IFERROR(__xludf.DUMMYFUNCTION("""COMPUTED_VALUE"""),201.68)</f>
        <v>201.68</v>
      </c>
      <c r="M42" s="25">
        <f>IFERROR(__xludf.DUMMYFUNCTION("""COMPUTED_VALUE"""),229.35)</f>
        <v>229.35</v>
      </c>
      <c r="N42" s="25">
        <f>IFERROR(__xludf.DUMMYFUNCTION("""COMPUTED_VALUE"""),4.31826281E8)</f>
        <v>431826281</v>
      </c>
      <c r="P42" s="32">
        <f>IFERROR(__xludf.DUMMYFUNCTION("""COMPUTED_VALUE"""),45877.66666666667)</f>
        <v>45877.66667</v>
      </c>
      <c r="Q42" s="25">
        <f>IFERROR(__xludf.DUMMYFUNCTION("""COMPUTED_VALUE"""),528.27)</f>
        <v>528.27</v>
      </c>
      <c r="R42" s="25">
        <f>IFERROR(__xludf.DUMMYFUNCTION("""COMPUTED_VALUE"""),538.25)</f>
        <v>538.25</v>
      </c>
      <c r="S42" s="25">
        <f>IFERROR(__xludf.DUMMYFUNCTION("""COMPUTED_VALUE"""),517.55)</f>
        <v>517.55</v>
      </c>
      <c r="T42" s="25">
        <f>IFERROR(__xludf.DUMMYFUNCTION("""COMPUTED_VALUE"""),522.04)</f>
        <v>522.04</v>
      </c>
      <c r="U42" s="25">
        <f>IFERROR(__xludf.DUMMYFUNCTION("""COMPUTED_VALUE"""),9.7486428E7)</f>
        <v>97486428</v>
      </c>
      <c r="W42" s="32">
        <f>IFERROR(__xludf.DUMMYFUNCTION("""COMPUTED_VALUE"""),45877.66666666667)</f>
        <v>45877.66667</v>
      </c>
      <c r="X42" s="25">
        <f>IFERROR(__xludf.DUMMYFUNCTION("""COMPUTED_VALUE"""),290.26)</f>
        <v>290.26</v>
      </c>
      <c r="Y42" s="25">
        <f>IFERROR(__xludf.DUMMYFUNCTION("""COMPUTED_VALUE"""),295.79)</f>
        <v>295.79</v>
      </c>
      <c r="Z42" s="25">
        <f>IFERROR(__xludf.DUMMYFUNCTION("""COMPUTED_VALUE"""),284.71)</f>
        <v>284.71</v>
      </c>
      <c r="AA42" s="25">
        <f>IFERROR(__xludf.DUMMYFUNCTION("""COMPUTED_VALUE"""),288.76)</f>
        <v>288.76</v>
      </c>
      <c r="AB42" s="25">
        <f>IFERROR(__xludf.DUMMYFUNCTION("""COMPUTED_VALUE"""),3.4853645E7)</f>
        <v>34853645</v>
      </c>
      <c r="AD42" s="32">
        <f>IFERROR(__xludf.DUMMYFUNCTION("""COMPUTED_VALUE"""),45877.66666666667)</f>
        <v>45877.66667</v>
      </c>
      <c r="AE42" s="25">
        <f>IFERROR(__xludf.DUMMYFUNCTION("""COMPUTED_VALUE"""),217.4)</f>
        <v>217.4</v>
      </c>
      <c r="AF42" s="25">
        <f>IFERROR(__xludf.DUMMYFUNCTION("""COMPUTED_VALUE"""),226.22)</f>
        <v>226.22</v>
      </c>
      <c r="AG42" s="25">
        <f>IFERROR(__xludf.DUMMYFUNCTION("""COMPUTED_VALUE"""),211.42)</f>
        <v>211.42</v>
      </c>
      <c r="AH42" s="25">
        <f>IFERROR(__xludf.DUMMYFUNCTION("""COMPUTED_VALUE"""),222.69)</f>
        <v>222.69</v>
      </c>
      <c r="AI42" s="25">
        <f>IFERROR(__xludf.DUMMYFUNCTION("""COMPUTED_VALUE"""),2.57792302E8)</f>
        <v>257792302</v>
      </c>
      <c r="AK42" s="32">
        <f>IFERROR(__xludf.DUMMYFUNCTION("""COMPUTED_VALUE"""),45877.66666666667)</f>
        <v>45877.66667</v>
      </c>
      <c r="AL42" s="25">
        <f>IFERROR(__xludf.DUMMYFUNCTION("""COMPUTED_VALUE"""),309.08)</f>
        <v>309.08</v>
      </c>
      <c r="AM42" s="25">
        <f>IFERROR(__xludf.DUMMYFUNCTION("""COMPUTED_VALUE"""),335.15)</f>
        <v>335.15</v>
      </c>
      <c r="AN42" s="25">
        <f>IFERROR(__xludf.DUMMYFUNCTION("""COMPUTED_VALUE"""),303.0)</f>
        <v>303</v>
      </c>
      <c r="AO42" s="25">
        <f>IFERROR(__xludf.DUMMYFUNCTION("""COMPUTED_VALUE"""),329.65)</f>
        <v>329.65</v>
      </c>
      <c r="AP42" s="25">
        <f>IFERROR(__xludf.DUMMYFUNCTION("""COMPUTED_VALUE"""),3.73027753E8)</f>
        <v>373027753</v>
      </c>
    </row>
    <row r="43">
      <c r="B43" s="27">
        <f>IFERROR(__xludf.DUMMYFUNCTION("""COMPUTED_VALUE"""),45884.66666666667)</f>
        <v>45884.66667</v>
      </c>
      <c r="C43" s="25">
        <f>IFERROR(__xludf.DUMMYFUNCTION("""COMPUTED_VALUE"""),201.56)</f>
        <v>201.56</v>
      </c>
      <c r="D43" s="25">
        <f>IFERROR(__xludf.DUMMYFUNCTION("""COMPUTED_VALUE"""),207.33)</f>
        <v>207.33</v>
      </c>
      <c r="E43" s="25">
        <f>IFERROR(__xludf.DUMMYFUNCTION("""COMPUTED_VALUE"""),198.64)</f>
        <v>198.64</v>
      </c>
      <c r="F43" s="25">
        <f>IFERROR(__xludf.DUMMYFUNCTION("""COMPUTED_VALUE"""),204.91)</f>
        <v>204.91</v>
      </c>
      <c r="G43" s="25">
        <f>IFERROR(__xludf.DUMMYFUNCTION("""COMPUTED_VALUE"""),9.5023797E7)</f>
        <v>95023797</v>
      </c>
      <c r="I43" s="32">
        <f>IFERROR(__xludf.DUMMYFUNCTION("""COMPUTED_VALUE"""),45884.66666666667)</f>
        <v>45884.66667</v>
      </c>
      <c r="J43" s="25">
        <f>IFERROR(__xludf.DUMMYFUNCTION("""COMPUTED_VALUE"""),227.92)</f>
        <v>227.92</v>
      </c>
      <c r="K43" s="25">
        <f>IFERROR(__xludf.DUMMYFUNCTION("""COMPUTED_VALUE"""),235.12)</f>
        <v>235.12</v>
      </c>
      <c r="L43" s="25">
        <f>IFERROR(__xludf.DUMMYFUNCTION("""COMPUTED_VALUE"""),224.76)</f>
        <v>224.76</v>
      </c>
      <c r="M43" s="25">
        <f>IFERROR(__xludf.DUMMYFUNCTION("""COMPUTED_VALUE"""),231.59)</f>
        <v>231.59</v>
      </c>
      <c r="N43" s="25">
        <f>IFERROR(__xludf.DUMMYFUNCTION("""COMPUTED_VALUE"""),2.95311911E8)</f>
        <v>295311911</v>
      </c>
      <c r="P43" s="32">
        <f>IFERROR(__xludf.DUMMYFUNCTION("""COMPUTED_VALUE"""),45884.66666666667)</f>
        <v>45884.66667</v>
      </c>
      <c r="Q43" s="25">
        <f>IFERROR(__xludf.DUMMYFUNCTION("""COMPUTED_VALUE"""),522.3)</f>
        <v>522.3</v>
      </c>
      <c r="R43" s="25">
        <f>IFERROR(__xludf.DUMMYFUNCTION("""COMPUTED_VALUE"""),532.7)</f>
        <v>532.7</v>
      </c>
      <c r="S43" s="25">
        <f>IFERROR(__xludf.DUMMYFUNCTION("""COMPUTED_VALUE"""),519.08)</f>
        <v>519.08</v>
      </c>
      <c r="T43" s="25">
        <f>IFERROR(__xludf.DUMMYFUNCTION("""COMPUTED_VALUE"""),520.17)</f>
        <v>520.17</v>
      </c>
      <c r="U43" s="25">
        <f>IFERROR(__xludf.DUMMYFUNCTION("""COMPUTED_VALUE"""),1.03984799E8)</f>
        <v>103984799</v>
      </c>
      <c r="W43" s="32">
        <f>IFERROR(__xludf.DUMMYFUNCTION("""COMPUTED_VALUE"""),45884.66666666667)</f>
        <v>45884.66667</v>
      </c>
      <c r="X43" s="25">
        <f>IFERROR(__xludf.DUMMYFUNCTION("""COMPUTED_VALUE"""),289.4)</f>
        <v>289.4</v>
      </c>
      <c r="Y43" s="25">
        <f>IFERROR(__xludf.DUMMYFUNCTION("""COMPUTED_VALUE"""),295.5)</f>
        <v>295.5</v>
      </c>
      <c r="Z43" s="25">
        <f>IFERROR(__xludf.DUMMYFUNCTION("""COMPUTED_VALUE"""),287.16)</f>
        <v>287.16</v>
      </c>
      <c r="AA43" s="25">
        <f>IFERROR(__xludf.DUMMYFUNCTION("""COMPUTED_VALUE"""),290.49)</f>
        <v>290.49</v>
      </c>
      <c r="AB43" s="25">
        <f>IFERROR(__xludf.DUMMYFUNCTION("""COMPUTED_VALUE"""),3.6165453E7)</f>
        <v>36165453</v>
      </c>
      <c r="AD43" s="32">
        <f>IFERROR(__xludf.DUMMYFUNCTION("""COMPUTED_VALUE"""),45884.66666666667)</f>
        <v>45884.66667</v>
      </c>
      <c r="AE43" s="25">
        <f>IFERROR(__xludf.DUMMYFUNCTION("""COMPUTED_VALUE"""),221.78)</f>
        <v>221.78</v>
      </c>
      <c r="AF43" s="25">
        <f>IFERROR(__xludf.DUMMYFUNCTION("""COMPUTED_VALUE"""),234.08)</f>
        <v>234.08</v>
      </c>
      <c r="AG43" s="25">
        <f>IFERROR(__xludf.DUMMYFUNCTION("""COMPUTED_VALUE"""),219.05)</f>
        <v>219.05</v>
      </c>
      <c r="AH43" s="25">
        <f>IFERROR(__xludf.DUMMYFUNCTION("""COMPUTED_VALUE"""),231.03)</f>
        <v>231.03</v>
      </c>
      <c r="AI43" s="25">
        <f>IFERROR(__xludf.DUMMYFUNCTION("""COMPUTED_VALUE"""),2.06604332E8)</f>
        <v>206604332</v>
      </c>
      <c r="AK43" s="32">
        <f>IFERROR(__xludf.DUMMYFUNCTION("""COMPUTED_VALUE"""),45884.66666666667)</f>
        <v>45884.66667</v>
      </c>
      <c r="AL43" s="25">
        <f>IFERROR(__xludf.DUMMYFUNCTION("""COMPUTED_VALUE"""),335.0)</f>
        <v>335</v>
      </c>
      <c r="AM43" s="25">
        <f>IFERROR(__xludf.DUMMYFUNCTION("""COMPUTED_VALUE"""),348.98)</f>
        <v>348.98</v>
      </c>
      <c r="AN43" s="25">
        <f>IFERROR(__xludf.DUMMYFUNCTION("""COMPUTED_VALUE"""),327.02)</f>
        <v>327.02</v>
      </c>
      <c r="AO43" s="25">
        <f>IFERROR(__xludf.DUMMYFUNCTION("""COMPUTED_VALUE"""),330.56)</f>
        <v>330.56</v>
      </c>
      <c r="AP43" s="25">
        <f>IFERROR(__xludf.DUMMYFUNCTION("""COMPUTED_VALUE"""),4.03169631E8)</f>
        <v>403169631</v>
      </c>
    </row>
    <row r="44">
      <c r="B44" s="27">
        <f>IFERROR(__xludf.DUMMYFUNCTION("""COMPUTED_VALUE"""),45891.66666666667)</f>
        <v>45891.66667</v>
      </c>
      <c r="C44" s="25">
        <f>IFERROR(__xludf.DUMMYFUNCTION("""COMPUTED_VALUE"""),205.07)</f>
        <v>205.07</v>
      </c>
      <c r="D44" s="25">
        <f>IFERROR(__xludf.DUMMYFUNCTION("""COMPUTED_VALUE"""),209.23)</f>
        <v>209.23</v>
      </c>
      <c r="E44" s="25">
        <f>IFERROR(__xludf.DUMMYFUNCTION("""COMPUTED_VALUE"""),197.46)</f>
        <v>197.46</v>
      </c>
      <c r="F44" s="25">
        <f>IFERROR(__xludf.DUMMYFUNCTION("""COMPUTED_VALUE"""),206.72)</f>
        <v>206.72</v>
      </c>
      <c r="G44" s="25">
        <f>IFERROR(__xludf.DUMMYFUNCTION("""COMPUTED_VALUE"""),7.7941081E7)</f>
        <v>77941081</v>
      </c>
      <c r="I44" s="32">
        <f>IFERROR(__xludf.DUMMYFUNCTION("""COMPUTED_VALUE"""),45891.66666666667)</f>
        <v>45891.66667</v>
      </c>
      <c r="J44" s="25">
        <f>IFERROR(__xludf.DUMMYFUNCTION("""COMPUTED_VALUE"""),231.7)</f>
        <v>231.7</v>
      </c>
      <c r="K44" s="25">
        <f>IFERROR(__xludf.DUMMYFUNCTION("""COMPUTED_VALUE"""),233.12)</f>
        <v>233.12</v>
      </c>
      <c r="L44" s="25">
        <f>IFERROR(__xludf.DUMMYFUNCTION("""COMPUTED_VALUE"""),223.78)</f>
        <v>223.78</v>
      </c>
      <c r="M44" s="25">
        <f>IFERROR(__xludf.DUMMYFUNCTION("""COMPUTED_VALUE"""),227.76)</f>
        <v>227.76</v>
      </c>
      <c r="N44" s="25">
        <f>IFERROR(__xludf.DUMMYFUNCTION("""COMPUTED_VALUE"""),1.92241677E8)</f>
        <v>192241677</v>
      </c>
      <c r="P44" s="32">
        <f>IFERROR(__xludf.DUMMYFUNCTION("""COMPUTED_VALUE"""),45891.66666666667)</f>
        <v>45891.66667</v>
      </c>
      <c r="Q44" s="25">
        <f>IFERROR(__xludf.DUMMYFUNCTION("""COMPUTED_VALUE"""),521.59)</f>
        <v>521.59</v>
      </c>
      <c r="R44" s="25">
        <f>IFERROR(__xludf.DUMMYFUNCTION("""COMPUTED_VALUE"""),522.82)</f>
        <v>522.82</v>
      </c>
      <c r="S44" s="25">
        <f>IFERROR(__xludf.DUMMYFUNCTION("""COMPUTED_VALUE"""),502.41)</f>
        <v>502.41</v>
      </c>
      <c r="T44" s="25">
        <f>IFERROR(__xludf.DUMMYFUNCTION("""COMPUTED_VALUE"""),507.23)</f>
        <v>507.23</v>
      </c>
      <c r="U44" s="25">
        <f>IFERROR(__xludf.DUMMYFUNCTION("""COMPUTED_VALUE"""),1.15732039E8)</f>
        <v>115732039</v>
      </c>
      <c r="W44" s="32">
        <f>IFERROR(__xludf.DUMMYFUNCTION("""COMPUTED_VALUE"""),45891.66666666667)</f>
        <v>45891.66667</v>
      </c>
      <c r="X44" s="25">
        <f>IFERROR(__xludf.DUMMYFUNCTION("""COMPUTED_VALUE"""),290.0)</f>
        <v>290</v>
      </c>
      <c r="Y44" s="25">
        <f>IFERROR(__xludf.DUMMYFUNCTION("""COMPUTED_VALUE"""),297.16)</f>
        <v>297.16</v>
      </c>
      <c r="Z44" s="25">
        <f>IFERROR(__xludf.DUMMYFUNCTION("""COMPUTED_VALUE"""),287.27)</f>
        <v>287.27</v>
      </c>
      <c r="AA44" s="25">
        <f>IFERROR(__xludf.DUMMYFUNCTION("""COMPUTED_VALUE"""),296.24)</f>
        <v>296.24</v>
      </c>
      <c r="AB44" s="25">
        <f>IFERROR(__xludf.DUMMYFUNCTION("""COMPUTED_VALUE"""),3.3969628E7)</f>
        <v>33969628</v>
      </c>
      <c r="AD44" s="32">
        <f>IFERROR(__xludf.DUMMYFUNCTION("""COMPUTED_VALUE"""),45891.66666666667)</f>
        <v>45891.66667</v>
      </c>
      <c r="AE44" s="25">
        <f>IFERROR(__xludf.DUMMYFUNCTION("""COMPUTED_VALUE"""),230.23)</f>
        <v>230.23</v>
      </c>
      <c r="AF44" s="25">
        <f>IFERROR(__xludf.DUMMYFUNCTION("""COMPUTED_VALUE"""),231.91)</f>
        <v>231.91</v>
      </c>
      <c r="AG44" s="25">
        <f>IFERROR(__xludf.DUMMYFUNCTION("""COMPUTED_VALUE"""),220.5)</f>
        <v>220.5</v>
      </c>
      <c r="AH44" s="25">
        <f>IFERROR(__xludf.DUMMYFUNCTION("""COMPUTED_VALUE"""),228.84)</f>
        <v>228.84</v>
      </c>
      <c r="AI44" s="25">
        <f>IFERROR(__xludf.DUMMYFUNCTION("""COMPUTED_VALUE"""),1.61200021E8)</f>
        <v>161200021</v>
      </c>
      <c r="AK44" s="32">
        <f>IFERROR(__xludf.DUMMYFUNCTION("""COMPUTED_VALUE"""),45891.66666666667)</f>
        <v>45891.66667</v>
      </c>
      <c r="AL44" s="25">
        <f>IFERROR(__xludf.DUMMYFUNCTION("""COMPUTED_VALUE"""),329.62)</f>
        <v>329.62</v>
      </c>
      <c r="AM44" s="25">
        <f>IFERROR(__xludf.DUMMYFUNCTION("""COMPUTED_VALUE"""),340.55)</f>
        <v>340.55</v>
      </c>
      <c r="AN44" s="25">
        <f>IFERROR(__xludf.DUMMYFUNCTION("""COMPUTED_VALUE"""),314.6)</f>
        <v>314.6</v>
      </c>
      <c r="AO44" s="25">
        <f>IFERROR(__xludf.DUMMYFUNCTION("""COMPUTED_VALUE"""),340.01)</f>
        <v>340.01</v>
      </c>
      <c r="AP44" s="25">
        <f>IFERROR(__xludf.DUMMYFUNCTION("""COMPUTED_VALUE"""),3.60155114E8)</f>
        <v>360155114</v>
      </c>
    </row>
    <row r="45">
      <c r="B45" s="27">
        <f>IFERROR(__xludf.DUMMYFUNCTION("""COMPUTED_VALUE"""),45898.66666666667)</f>
        <v>45898.66667</v>
      </c>
      <c r="C45" s="25">
        <f>IFERROR(__xludf.DUMMYFUNCTION("""COMPUTED_VALUE"""),207.84)</f>
        <v>207.84</v>
      </c>
      <c r="D45" s="25">
        <f>IFERROR(__xludf.DUMMYFUNCTION("""COMPUTED_VALUE"""),215.34)</f>
        <v>215.34</v>
      </c>
      <c r="E45" s="25">
        <f>IFERROR(__xludf.DUMMYFUNCTION("""COMPUTED_VALUE"""),207.6)</f>
        <v>207.6</v>
      </c>
      <c r="F45" s="25">
        <f>IFERROR(__xludf.DUMMYFUNCTION("""COMPUTED_VALUE"""),213.53)</f>
        <v>213.53</v>
      </c>
      <c r="G45" s="25">
        <f>IFERROR(__xludf.DUMMYFUNCTION("""COMPUTED_VALUE"""),4.5597929E7)</f>
        <v>45597929</v>
      </c>
      <c r="I45" s="32">
        <f>IFERROR(__xludf.DUMMYFUNCTION("""COMPUTED_VALUE"""),45898.66666666667)</f>
        <v>45898.66667</v>
      </c>
      <c r="J45" s="25">
        <f>IFERROR(__xludf.DUMMYFUNCTION("""COMPUTED_VALUE"""),226.48)</f>
        <v>226.48</v>
      </c>
      <c r="K45" s="25">
        <f>IFERROR(__xludf.DUMMYFUNCTION("""COMPUTED_VALUE"""),233.41)</f>
        <v>233.41</v>
      </c>
      <c r="L45" s="25">
        <f>IFERROR(__xludf.DUMMYFUNCTION("""COMPUTED_VALUE"""),224.69)</f>
        <v>224.69</v>
      </c>
      <c r="M45" s="25">
        <f>IFERROR(__xludf.DUMMYFUNCTION("""COMPUTED_VALUE"""),232.14)</f>
        <v>232.14</v>
      </c>
      <c r="N45" s="25">
        <f>IFERROR(__xludf.DUMMYFUNCTION("""COMPUTED_VALUE"""),1.9431089E8)</f>
        <v>194310890</v>
      </c>
      <c r="P45" s="32">
        <f>IFERROR(__xludf.DUMMYFUNCTION("""COMPUTED_VALUE"""),45898.66666666667)</f>
        <v>45898.66667</v>
      </c>
      <c r="Q45" s="25">
        <f>IFERROR(__xludf.DUMMYFUNCTION("""COMPUTED_VALUE"""),506.63)</f>
        <v>506.63</v>
      </c>
      <c r="R45" s="25">
        <f>IFERROR(__xludf.DUMMYFUNCTION("""COMPUTED_VALUE"""),511.09)</f>
        <v>511.09</v>
      </c>
      <c r="S45" s="25">
        <f>IFERROR(__xludf.DUMMYFUNCTION("""COMPUTED_VALUE"""),498.51)</f>
        <v>498.51</v>
      </c>
      <c r="T45" s="25">
        <f>IFERROR(__xludf.DUMMYFUNCTION("""COMPUTED_VALUE"""),506.69)</f>
        <v>506.69</v>
      </c>
      <c r="U45" s="25">
        <f>IFERROR(__xludf.DUMMYFUNCTION("""COMPUTED_VALUE"""),1.08729343E8)</f>
        <v>108729343</v>
      </c>
      <c r="W45" s="32">
        <f>IFERROR(__xludf.DUMMYFUNCTION("""COMPUTED_VALUE"""),45898.66666666667)</f>
        <v>45898.66667</v>
      </c>
      <c r="X45" s="25">
        <f>IFERROR(__xludf.DUMMYFUNCTION("""COMPUTED_VALUE"""),296.24)</f>
        <v>296.24</v>
      </c>
      <c r="Y45" s="25">
        <f>IFERROR(__xludf.DUMMYFUNCTION("""COMPUTED_VALUE"""),302.95)</f>
        <v>302.95</v>
      </c>
      <c r="Z45" s="25">
        <f>IFERROR(__xludf.DUMMYFUNCTION("""COMPUTED_VALUE"""),293.5)</f>
        <v>293.5</v>
      </c>
      <c r="AA45" s="25">
        <f>IFERROR(__xludf.DUMMYFUNCTION("""COMPUTED_VALUE"""),301.42)</f>
        <v>301.42</v>
      </c>
      <c r="AB45" s="25">
        <f>IFERROR(__xludf.DUMMYFUNCTION("""COMPUTED_VALUE"""),3.1834435E7)</f>
        <v>31834435</v>
      </c>
      <c r="AD45" s="32">
        <f>IFERROR(__xludf.DUMMYFUNCTION("""COMPUTED_VALUE"""),45898.66666666667)</f>
        <v>45898.66667</v>
      </c>
      <c r="AE45" s="25">
        <f>IFERROR(__xludf.DUMMYFUNCTION("""COMPUTED_VALUE"""),227.35)</f>
        <v>227.35</v>
      </c>
      <c r="AF45" s="25">
        <f>IFERROR(__xludf.DUMMYFUNCTION("""COMPUTED_VALUE"""),232.71)</f>
        <v>232.71</v>
      </c>
      <c r="AG45" s="25">
        <f>IFERROR(__xludf.DUMMYFUNCTION("""COMPUTED_VALUE"""),226.02)</f>
        <v>226.02</v>
      </c>
      <c r="AH45" s="25">
        <f>IFERROR(__xludf.DUMMYFUNCTION("""COMPUTED_VALUE"""),229.0)</f>
        <v>229</v>
      </c>
      <c r="AI45" s="25">
        <f>IFERROR(__xludf.DUMMYFUNCTION("""COMPUTED_VALUE"""),1.29872302E8)</f>
        <v>129872302</v>
      </c>
      <c r="AK45" s="32">
        <f>IFERROR(__xludf.DUMMYFUNCTION("""COMPUTED_VALUE"""),45898.66666666667)</f>
        <v>45898.66667</v>
      </c>
      <c r="AL45" s="25">
        <f>IFERROR(__xludf.DUMMYFUNCTION("""COMPUTED_VALUE"""),338.9)</f>
        <v>338.9</v>
      </c>
      <c r="AM45" s="25">
        <f>IFERROR(__xludf.DUMMYFUNCTION("""COMPUTED_VALUE"""),355.39)</f>
        <v>355.39</v>
      </c>
      <c r="AN45" s="25">
        <f>IFERROR(__xludf.DUMMYFUNCTION("""COMPUTED_VALUE"""),331.7)</f>
        <v>331.7</v>
      </c>
      <c r="AO45" s="25">
        <f>IFERROR(__xludf.DUMMYFUNCTION("""COMPUTED_VALUE"""),333.87)</f>
        <v>333.87</v>
      </c>
      <c r="AP45" s="25">
        <f>IFERROR(__xludf.DUMMYFUNCTION("""COMPUTED_VALUE"""),3.77889483E8)</f>
        <v>377889483</v>
      </c>
    </row>
    <row r="46">
      <c r="B46" s="27">
        <f>IFERROR(__xludf.DUMMYFUNCTION("""COMPUTED_VALUE"""),45905.66666666667)</f>
        <v>45905.66667</v>
      </c>
      <c r="C46" s="25">
        <f>IFERROR(__xludf.DUMMYFUNCTION("""COMPUTED_VALUE"""),208.99)</f>
        <v>208.99</v>
      </c>
      <c r="D46" s="25">
        <f>IFERROR(__xludf.DUMMYFUNCTION("""COMPUTED_VALUE"""),236.13)</f>
        <v>236.13</v>
      </c>
      <c r="E46" s="25">
        <f>IFERROR(__xludf.DUMMYFUNCTION("""COMPUTED_VALUE"""),206.96)</f>
        <v>206.96</v>
      </c>
      <c r="F46" s="25">
        <f>IFERROR(__xludf.DUMMYFUNCTION("""COMPUTED_VALUE"""),235.17)</f>
        <v>235.17</v>
      </c>
      <c r="G46" s="25">
        <f>IFERROR(__xludf.DUMMYFUNCTION("""COMPUTED_VALUE"""),1.59474084E8)</f>
        <v>159474084</v>
      </c>
      <c r="I46" s="32">
        <f>IFERROR(__xludf.DUMMYFUNCTION("""COMPUTED_VALUE"""),45905.66666666667)</f>
        <v>45905.66667</v>
      </c>
      <c r="J46" s="25">
        <f>IFERROR(__xludf.DUMMYFUNCTION("""COMPUTED_VALUE"""),229.25)</f>
        <v>229.25</v>
      </c>
      <c r="K46" s="25">
        <f>IFERROR(__xludf.DUMMYFUNCTION("""COMPUTED_VALUE"""),241.32)</f>
        <v>241.32</v>
      </c>
      <c r="L46" s="25">
        <f>IFERROR(__xludf.DUMMYFUNCTION("""COMPUTED_VALUE"""),226.97)</f>
        <v>226.97</v>
      </c>
      <c r="M46" s="25">
        <f>IFERROR(__xludf.DUMMYFUNCTION("""COMPUTED_VALUE"""),239.69)</f>
        <v>239.69</v>
      </c>
      <c r="N46" s="25">
        <f>IFERROR(__xludf.DUMMYFUNCTION("""COMPUTED_VALUE"""),2.12923299E8)</f>
        <v>212923299</v>
      </c>
      <c r="P46" s="32">
        <f>IFERROR(__xludf.DUMMYFUNCTION("""COMPUTED_VALUE"""),45905.66666666667)</f>
        <v>45905.66667</v>
      </c>
      <c r="Q46" s="25">
        <f>IFERROR(__xludf.DUMMYFUNCTION("""COMPUTED_VALUE"""),500.47)</f>
        <v>500.47</v>
      </c>
      <c r="R46" s="25">
        <f>IFERROR(__xludf.DUMMYFUNCTION("""COMPUTED_VALUE"""),511.97)</f>
        <v>511.97</v>
      </c>
      <c r="S46" s="25">
        <f>IFERROR(__xludf.DUMMYFUNCTION("""COMPUTED_VALUE"""),492.37)</f>
        <v>492.37</v>
      </c>
      <c r="T46" s="25">
        <f>IFERROR(__xludf.DUMMYFUNCTION("""COMPUTED_VALUE"""),495.0)</f>
        <v>495</v>
      </c>
      <c r="U46" s="25">
        <f>IFERROR(__xludf.DUMMYFUNCTION("""COMPUTED_VALUE"""),8.1977405E7)</f>
        <v>81977405</v>
      </c>
      <c r="W46" s="32">
        <f>IFERROR(__xludf.DUMMYFUNCTION("""COMPUTED_VALUE"""),45905.66666666667)</f>
        <v>45905.66667</v>
      </c>
      <c r="X46" s="25">
        <f>IFERROR(__xludf.DUMMYFUNCTION("""COMPUTED_VALUE"""),300.26)</f>
        <v>300.26</v>
      </c>
      <c r="Y46" s="25">
        <f>IFERROR(__xludf.DUMMYFUNCTION("""COMPUTED_VALUE"""),305.15)</f>
        <v>305.15</v>
      </c>
      <c r="Z46" s="25">
        <f>IFERROR(__xludf.DUMMYFUNCTION("""COMPUTED_VALUE"""),294.31)</f>
        <v>294.31</v>
      </c>
      <c r="AA46" s="25">
        <f>IFERROR(__xludf.DUMMYFUNCTION("""COMPUTED_VALUE"""),294.38)</f>
        <v>294.38</v>
      </c>
      <c r="AB46" s="25">
        <f>IFERROR(__xludf.DUMMYFUNCTION("""COMPUTED_VALUE"""),2.9982272E7)</f>
        <v>29982272</v>
      </c>
      <c r="AD46" s="32">
        <f>IFERROR(__xludf.DUMMYFUNCTION("""COMPUTED_VALUE"""),45905.66666666667)</f>
        <v>45905.66667</v>
      </c>
      <c r="AE46" s="25">
        <f>IFERROR(__xludf.DUMMYFUNCTION("""COMPUTED_VALUE"""),223.52)</f>
        <v>223.52</v>
      </c>
      <c r="AF46" s="25">
        <f>IFERROR(__xludf.DUMMYFUNCTION("""COMPUTED_VALUE"""),236.0)</f>
        <v>236</v>
      </c>
      <c r="AG46" s="25">
        <f>IFERROR(__xludf.DUMMYFUNCTION("""COMPUTED_VALUE"""),221.83)</f>
        <v>221.83</v>
      </c>
      <c r="AH46" s="25">
        <f>IFERROR(__xludf.DUMMYFUNCTION("""COMPUTED_VALUE"""),232.33)</f>
        <v>232.33</v>
      </c>
      <c r="AI46" s="25">
        <f>IFERROR(__xludf.DUMMYFUNCTION("""COMPUTED_VALUE"""),1.64180598E8)</f>
        <v>164180598</v>
      </c>
      <c r="AK46" s="32">
        <f>IFERROR(__xludf.DUMMYFUNCTION("""COMPUTED_VALUE"""),45905.66666666667)</f>
        <v>45905.66667</v>
      </c>
      <c r="AL46" s="25">
        <f>IFERROR(__xludf.DUMMYFUNCTION("""COMPUTED_VALUE"""),328.23)</f>
        <v>328.23</v>
      </c>
      <c r="AM46" s="25">
        <f>IFERROR(__xludf.DUMMYFUNCTION("""COMPUTED_VALUE"""),355.87)</f>
        <v>355.87</v>
      </c>
      <c r="AN46" s="25">
        <f>IFERROR(__xludf.DUMMYFUNCTION("""COMPUTED_VALUE"""),325.6)</f>
        <v>325.6</v>
      </c>
      <c r="AO46" s="25">
        <f>IFERROR(__xludf.DUMMYFUNCTION("""COMPUTED_VALUE"""),350.84)</f>
        <v>350.84</v>
      </c>
      <c r="AP46" s="25">
        <f>IFERROR(__xludf.DUMMYFUNCTION("""COMPUTED_VALUE"""),3.16826058E8)</f>
        <v>316826058</v>
      </c>
    </row>
    <row r="47">
      <c r="B47" s="27">
        <f>IFERROR(__xludf.DUMMYFUNCTION("""COMPUTED_VALUE"""),45912.66666666667)</f>
        <v>45912.66667</v>
      </c>
      <c r="C47" s="25">
        <f>IFERROR(__xludf.DUMMYFUNCTION("""COMPUTED_VALUE"""),235.79)</f>
        <v>235.79</v>
      </c>
      <c r="D47" s="25">
        <f>IFERROR(__xludf.DUMMYFUNCTION("""COMPUTED_VALUE"""),242.57)</f>
        <v>242.57</v>
      </c>
      <c r="E47" s="25">
        <f>IFERROR(__xludf.DUMMYFUNCTION("""COMPUTED_VALUE"""),233.38)</f>
        <v>233.38</v>
      </c>
      <c r="F47" s="25">
        <f>IFERROR(__xludf.DUMMYFUNCTION("""COMPUTED_VALUE"""),241.38)</f>
        <v>241.38</v>
      </c>
      <c r="G47" s="25">
        <f>IFERROR(__xludf.DUMMYFUNCTION("""COMPUTED_VALUE"""),1.01818938E8)</f>
        <v>101818938</v>
      </c>
      <c r="I47" s="32">
        <f>IFERROR(__xludf.DUMMYFUNCTION("""COMPUTED_VALUE"""),45912.66666666667)</f>
        <v>45912.66667</v>
      </c>
      <c r="J47" s="25">
        <f>IFERROR(__xludf.DUMMYFUNCTION("""COMPUTED_VALUE"""),239.3)</f>
        <v>239.3</v>
      </c>
      <c r="K47" s="25">
        <f>IFERROR(__xludf.DUMMYFUNCTION("""COMPUTED_VALUE"""),240.15)</f>
        <v>240.15</v>
      </c>
      <c r="L47" s="25">
        <f>IFERROR(__xludf.DUMMYFUNCTION("""COMPUTED_VALUE"""),225.95)</f>
        <v>225.95</v>
      </c>
      <c r="M47" s="25">
        <f>IFERROR(__xludf.DUMMYFUNCTION("""COMPUTED_VALUE"""),234.07)</f>
        <v>234.07</v>
      </c>
      <c r="N47" s="25">
        <f>IFERROR(__xludf.DUMMYFUNCTION("""COMPUTED_VALUE"""),3.04787017E8)</f>
        <v>304787017</v>
      </c>
      <c r="P47" s="32">
        <f>IFERROR(__xludf.DUMMYFUNCTION("""COMPUTED_VALUE"""),45912.66666666667)</f>
        <v>45912.66667</v>
      </c>
      <c r="Q47" s="25">
        <f>IFERROR(__xludf.DUMMYFUNCTION("""COMPUTED_VALUE"""),498.11)</f>
        <v>498.11</v>
      </c>
      <c r="R47" s="25">
        <f>IFERROR(__xludf.DUMMYFUNCTION("""COMPUTED_VALUE"""),512.55)</f>
        <v>512.55</v>
      </c>
      <c r="S47" s="25">
        <f>IFERROR(__xludf.DUMMYFUNCTION("""COMPUTED_VALUE"""),495.03)</f>
        <v>495.03</v>
      </c>
      <c r="T47" s="25">
        <f>IFERROR(__xludf.DUMMYFUNCTION("""COMPUTED_VALUE"""),509.9)</f>
        <v>509.9</v>
      </c>
      <c r="U47" s="25">
        <f>IFERROR(__xludf.DUMMYFUNCTION("""COMPUTED_VALUE"""),9.5299865E7)</f>
        <v>95299865</v>
      </c>
      <c r="W47" s="32">
        <f>IFERROR(__xludf.DUMMYFUNCTION("""COMPUTED_VALUE"""),45912.66666666667)</f>
        <v>45912.66667</v>
      </c>
      <c r="X47" s="25">
        <f>IFERROR(__xludf.DUMMYFUNCTION("""COMPUTED_VALUE"""),294.89)</f>
        <v>294.89</v>
      </c>
      <c r="Y47" s="25">
        <f>IFERROR(__xludf.DUMMYFUNCTION("""COMPUTED_VALUE"""),307.55)</f>
        <v>307.55</v>
      </c>
      <c r="Z47" s="25">
        <f>IFERROR(__xludf.DUMMYFUNCTION("""COMPUTED_VALUE"""),291.44)</f>
        <v>291.44</v>
      </c>
      <c r="AA47" s="25">
        <f>IFERROR(__xludf.DUMMYFUNCTION("""COMPUTED_VALUE"""),306.91)</f>
        <v>306.91</v>
      </c>
      <c r="AB47" s="25">
        <f>IFERROR(__xludf.DUMMYFUNCTION("""COMPUTED_VALUE"""),3.8613168E7)</f>
        <v>38613168</v>
      </c>
      <c r="AD47" s="32">
        <f>IFERROR(__xludf.DUMMYFUNCTION("""COMPUTED_VALUE"""),45912.66666666667)</f>
        <v>45912.66667</v>
      </c>
      <c r="AE47" s="25">
        <f>IFERROR(__xludf.DUMMYFUNCTION("""COMPUTED_VALUE"""),234.94)</f>
        <v>234.94</v>
      </c>
      <c r="AF47" s="25">
        <f>IFERROR(__xludf.DUMMYFUNCTION("""COMPUTED_VALUE"""),238.85)</f>
        <v>238.85</v>
      </c>
      <c r="AG47" s="25">
        <f>IFERROR(__xludf.DUMMYFUNCTION("""COMPUTED_VALUE"""),226.29)</f>
        <v>226.29</v>
      </c>
      <c r="AH47" s="25">
        <f>IFERROR(__xludf.DUMMYFUNCTION("""COMPUTED_VALUE"""),228.15)</f>
        <v>228.15</v>
      </c>
      <c r="AI47" s="25">
        <f>IFERROR(__xludf.DUMMYFUNCTION("""COMPUTED_VALUE"""),1.97870412E8)</f>
        <v>197870412</v>
      </c>
      <c r="AK47" s="32">
        <f>IFERROR(__xludf.DUMMYFUNCTION("""COMPUTED_VALUE"""),45912.66666666667)</f>
        <v>45912.66667</v>
      </c>
      <c r="AL47" s="25">
        <f>IFERROR(__xludf.DUMMYFUNCTION("""COMPUTED_VALUE"""),354.64)</f>
        <v>354.64</v>
      </c>
      <c r="AM47" s="25">
        <f>IFERROR(__xludf.DUMMYFUNCTION("""COMPUTED_VALUE"""),396.69)</f>
        <v>396.69</v>
      </c>
      <c r="AN47" s="25">
        <f>IFERROR(__xludf.DUMMYFUNCTION("""COMPUTED_VALUE"""),343.82)</f>
        <v>343.82</v>
      </c>
      <c r="AO47" s="25">
        <f>IFERROR(__xludf.DUMMYFUNCTION("""COMPUTED_VALUE"""),395.94)</f>
        <v>395.94</v>
      </c>
      <c r="AP47" s="25">
        <f>IFERROR(__xludf.DUMMYFUNCTION("""COMPUTED_VALUE"""),4.73058361E8)</f>
        <v>473058361</v>
      </c>
    </row>
    <row r="48">
      <c r="B48" s="27">
        <f>IFERROR(__xludf.DUMMYFUNCTION("""COMPUTED_VALUE"""),45919.66666666667)</f>
        <v>45919.66667</v>
      </c>
      <c r="C48" s="25">
        <f>IFERROR(__xludf.DUMMYFUNCTION("""COMPUTED_VALUE"""),245.14)</f>
        <v>245.14</v>
      </c>
      <c r="D48" s="25">
        <f>IFERROR(__xludf.DUMMYFUNCTION("""COMPUTED_VALUE"""),256.7)</f>
        <v>256.7</v>
      </c>
      <c r="E48" s="25">
        <f>IFERROR(__xludf.DUMMYFUNCTION("""COMPUTED_VALUE"""),244.98)</f>
        <v>244.98</v>
      </c>
      <c r="F48" s="25">
        <f>IFERROR(__xludf.DUMMYFUNCTION("""COMPUTED_VALUE"""),255.24)</f>
        <v>255.24</v>
      </c>
      <c r="G48" s="25">
        <f>IFERROR(__xludf.DUMMYFUNCTION("""COMPUTED_VALUE"""),1.37703189E8)</f>
        <v>137703189</v>
      </c>
      <c r="I48" s="32">
        <f>IFERROR(__xludf.DUMMYFUNCTION("""COMPUTED_VALUE"""),45919.66666666667)</f>
        <v>45919.66667</v>
      </c>
      <c r="J48" s="25">
        <f>IFERROR(__xludf.DUMMYFUNCTION("""COMPUTED_VALUE"""),237.0)</f>
        <v>237</v>
      </c>
      <c r="K48" s="25">
        <f>IFERROR(__xludf.DUMMYFUNCTION("""COMPUTED_VALUE"""),246.3)</f>
        <v>246.3</v>
      </c>
      <c r="L48" s="25">
        <f>IFERROR(__xludf.DUMMYFUNCTION("""COMPUTED_VALUE"""),235.03)</f>
        <v>235.03</v>
      </c>
      <c r="M48" s="25">
        <f>IFERROR(__xludf.DUMMYFUNCTION("""COMPUTED_VALUE"""),245.5)</f>
        <v>245.5</v>
      </c>
      <c r="N48" s="25">
        <f>IFERROR(__xludf.DUMMYFUNCTION("""COMPUTED_VALUE"""),3.6061953E8)</f>
        <v>360619530</v>
      </c>
      <c r="P48" s="32">
        <f>IFERROR(__xludf.DUMMYFUNCTION("""COMPUTED_VALUE"""),45919.66666666667)</f>
        <v>45919.66667</v>
      </c>
      <c r="Q48" s="25">
        <f>IFERROR(__xludf.DUMMYFUNCTION("""COMPUTED_VALUE"""),508.79)</f>
        <v>508.79</v>
      </c>
      <c r="R48" s="25">
        <f>IFERROR(__xludf.DUMMYFUNCTION("""COMPUTED_VALUE"""),519.3)</f>
        <v>519.3</v>
      </c>
      <c r="S48" s="25">
        <f>IFERROR(__xludf.DUMMYFUNCTION("""COMPUTED_VALUE"""),505.93)</f>
        <v>505.93</v>
      </c>
      <c r="T48" s="25">
        <f>IFERROR(__xludf.DUMMYFUNCTION("""COMPUTED_VALUE"""),517.93)</f>
        <v>517.93</v>
      </c>
      <c r="U48" s="25">
        <f>IFERROR(__xludf.DUMMYFUNCTION("""COMPUTED_VALUE"""),1.24060082E8)</f>
        <v>124060082</v>
      </c>
      <c r="W48" s="32">
        <f>IFERROR(__xludf.DUMMYFUNCTION("""COMPUTED_VALUE"""),45919.66666666667)</f>
        <v>45919.66667</v>
      </c>
      <c r="X48" s="25">
        <f>IFERROR(__xludf.DUMMYFUNCTION("""COMPUTED_VALUE"""),307.17)</f>
        <v>307.17</v>
      </c>
      <c r="Y48" s="25">
        <f>IFERROR(__xludf.DUMMYFUNCTION("""COMPUTED_VALUE"""),315.8)</f>
        <v>315.8</v>
      </c>
      <c r="Z48" s="25">
        <f>IFERROR(__xludf.DUMMYFUNCTION("""COMPUTED_VALUE"""),307.13)</f>
        <v>307.13</v>
      </c>
      <c r="AA48" s="25">
        <f>IFERROR(__xludf.DUMMYFUNCTION("""COMPUTED_VALUE"""),314.78)</f>
        <v>314.78</v>
      </c>
      <c r="AB48" s="25">
        <f>IFERROR(__xludf.DUMMYFUNCTION("""COMPUTED_VALUE"""),5.7924596E7)</f>
        <v>57924596</v>
      </c>
      <c r="AD48" s="32">
        <f>IFERROR(__xludf.DUMMYFUNCTION("""COMPUTED_VALUE"""),45919.66666666667)</f>
        <v>45919.66667</v>
      </c>
      <c r="AE48" s="25">
        <f>IFERROR(__xludf.DUMMYFUNCTION("""COMPUTED_VALUE"""),230.63)</f>
        <v>230.63</v>
      </c>
      <c r="AF48" s="25">
        <f>IFERROR(__xludf.DUMMYFUNCTION("""COMPUTED_VALUE"""),235.9)</f>
        <v>235.9</v>
      </c>
      <c r="AG48" s="25">
        <f>IFERROR(__xludf.DUMMYFUNCTION("""COMPUTED_VALUE"""),228.71)</f>
        <v>228.71</v>
      </c>
      <c r="AH48" s="25">
        <f>IFERROR(__xludf.DUMMYFUNCTION("""COMPUTED_VALUE"""),231.48)</f>
        <v>231.48</v>
      </c>
      <c r="AI48" s="25">
        <f>IFERROR(__xludf.DUMMYFUNCTION("""COMPUTED_VALUE"""),2.5013738E8)</f>
        <v>250137380</v>
      </c>
      <c r="AK48" s="32">
        <f>IFERROR(__xludf.DUMMYFUNCTION("""COMPUTED_VALUE"""),45919.66666666667)</f>
        <v>45919.66667</v>
      </c>
      <c r="AL48" s="25">
        <f>IFERROR(__xludf.DUMMYFUNCTION("""COMPUTED_VALUE"""),423.13)</f>
        <v>423.13</v>
      </c>
      <c r="AM48" s="25">
        <f>IFERROR(__xludf.DUMMYFUNCTION("""COMPUTED_VALUE"""),432.22)</f>
        <v>432.22</v>
      </c>
      <c r="AN48" s="25">
        <f>IFERROR(__xludf.DUMMYFUNCTION("""COMPUTED_VALUE"""),402.43)</f>
        <v>402.43</v>
      </c>
      <c r="AO48" s="25">
        <f>IFERROR(__xludf.DUMMYFUNCTION("""COMPUTED_VALUE"""),426.07)</f>
        <v>426.07</v>
      </c>
      <c r="AP48" s="25">
        <f>IFERROR(__xludf.DUMMYFUNCTION("""COMPUTED_VALUE"""),5.57828463E8)</f>
        <v>557828463</v>
      </c>
    </row>
    <row r="49">
      <c r="B49" s="27">
        <f>IFERROR(__xludf.DUMMYFUNCTION("""COMPUTED_VALUE"""),45926.66666666667)</f>
        <v>45926.66667</v>
      </c>
      <c r="C49" s="25">
        <f>IFERROR(__xludf.DUMMYFUNCTION("""COMPUTED_VALUE"""),254.78)</f>
        <v>254.78</v>
      </c>
      <c r="D49" s="25">
        <f>IFERROR(__xludf.DUMMYFUNCTION("""COMPUTED_VALUE"""),256.31)</f>
        <v>256.31</v>
      </c>
      <c r="E49" s="25">
        <f>IFERROR(__xludf.DUMMYFUNCTION("""COMPUTED_VALUE"""),241.65)</f>
        <v>241.65</v>
      </c>
      <c r="F49" s="25">
        <f>IFERROR(__xludf.DUMMYFUNCTION("""COMPUTED_VALUE"""),247.18)</f>
        <v>247.18</v>
      </c>
      <c r="G49" s="25">
        <f>IFERROR(__xludf.DUMMYFUNCTION("""COMPUTED_VALUE"""),8.8532985E7)</f>
        <v>88532985</v>
      </c>
      <c r="I49" s="32">
        <f>IFERROR(__xludf.DUMMYFUNCTION("""COMPUTED_VALUE"""),45926.66666666667)</f>
        <v>45926.66667</v>
      </c>
      <c r="J49" s="25">
        <f>IFERROR(__xludf.DUMMYFUNCTION("""COMPUTED_VALUE"""),248.3)</f>
        <v>248.3</v>
      </c>
      <c r="K49" s="25">
        <f>IFERROR(__xludf.DUMMYFUNCTION("""COMPUTED_VALUE"""),257.6)</f>
        <v>257.6</v>
      </c>
      <c r="L49" s="25">
        <f>IFERROR(__xludf.DUMMYFUNCTION("""COMPUTED_VALUE"""),248.12)</f>
        <v>248.12</v>
      </c>
      <c r="M49" s="25">
        <f>IFERROR(__xludf.DUMMYFUNCTION("""COMPUTED_VALUE"""),255.46)</f>
        <v>255.46</v>
      </c>
      <c r="N49" s="25">
        <f>IFERROR(__xludf.DUMMYFUNCTION("""COMPUTED_VALUE"""),3.09374646E8)</f>
        <v>309374646</v>
      </c>
      <c r="P49" s="32">
        <f>IFERROR(__xludf.DUMMYFUNCTION("""COMPUTED_VALUE"""),45926.66666666667)</f>
        <v>45926.66667</v>
      </c>
      <c r="Q49" s="25">
        <f>IFERROR(__xludf.DUMMYFUNCTION("""COMPUTED_VALUE"""),515.59)</f>
        <v>515.59</v>
      </c>
      <c r="R49" s="25">
        <f>IFERROR(__xludf.DUMMYFUNCTION("""COMPUTED_VALUE"""),517.74)</f>
        <v>517.74</v>
      </c>
      <c r="S49" s="25">
        <f>IFERROR(__xludf.DUMMYFUNCTION("""COMPUTED_VALUE"""),505.04)</f>
        <v>505.04</v>
      </c>
      <c r="T49" s="25">
        <f>IFERROR(__xludf.DUMMYFUNCTION("""COMPUTED_VALUE"""),511.46)</f>
        <v>511.46</v>
      </c>
      <c r="U49" s="25">
        <f>IFERROR(__xludf.DUMMYFUNCTION("""COMPUTED_VALUE"""),8.5342202E7)</f>
        <v>85342202</v>
      </c>
      <c r="W49" s="32">
        <f>IFERROR(__xludf.DUMMYFUNCTION("""COMPUTED_VALUE"""),45926.66666666667)</f>
        <v>45926.66667</v>
      </c>
      <c r="X49" s="25">
        <f>IFERROR(__xludf.DUMMYFUNCTION("""COMPUTED_VALUE"""),309.8)</f>
        <v>309.8</v>
      </c>
      <c r="Y49" s="25">
        <f>IFERROR(__xludf.DUMMYFUNCTION("""COMPUTED_VALUE"""),317.81)</f>
        <v>317.81</v>
      </c>
      <c r="Z49" s="25">
        <f>IFERROR(__xludf.DUMMYFUNCTION("""COMPUTED_VALUE"""),309.56)</f>
        <v>309.56</v>
      </c>
      <c r="AA49" s="25">
        <f>IFERROR(__xludf.DUMMYFUNCTION("""COMPUTED_VALUE"""),316.06)</f>
        <v>316.06</v>
      </c>
      <c r="AB49" s="25">
        <f>IFERROR(__xludf.DUMMYFUNCTION("""COMPUTED_VALUE"""),3.7756457E7)</f>
        <v>37756457</v>
      </c>
      <c r="AD49" s="32">
        <f>IFERROR(__xludf.DUMMYFUNCTION("""COMPUTED_VALUE"""),45926.66666666667)</f>
        <v>45926.66667</v>
      </c>
      <c r="AE49" s="25">
        <f>IFERROR(__xludf.DUMMYFUNCTION("""COMPUTED_VALUE"""),230.56)</f>
        <v>230.56</v>
      </c>
      <c r="AF49" s="25">
        <f>IFERROR(__xludf.DUMMYFUNCTION("""COMPUTED_VALUE"""),230.57)</f>
        <v>230.57</v>
      </c>
      <c r="AG49" s="25">
        <f>IFERROR(__xludf.DUMMYFUNCTION("""COMPUTED_VALUE"""),216.47)</f>
        <v>216.47</v>
      </c>
      <c r="AH49" s="25">
        <f>IFERROR(__xludf.DUMMYFUNCTION("""COMPUTED_VALUE"""),219.78)</f>
        <v>219.78</v>
      </c>
      <c r="AI49" s="25">
        <f>IFERROR(__xludf.DUMMYFUNCTION("""COMPUTED_VALUE"""),2.60256158E8)</f>
        <v>260256158</v>
      </c>
      <c r="AK49" s="32">
        <f>IFERROR(__xludf.DUMMYFUNCTION("""COMPUTED_VALUE"""),45926.66666666667)</f>
        <v>45926.66667</v>
      </c>
      <c r="AL49" s="25">
        <f>IFERROR(__xludf.DUMMYFUNCTION("""COMPUTED_VALUE"""),431.11)</f>
        <v>431.11</v>
      </c>
      <c r="AM49" s="25">
        <f>IFERROR(__xludf.DUMMYFUNCTION("""COMPUTED_VALUE"""),444.98)</f>
        <v>444.98</v>
      </c>
      <c r="AN49" s="25">
        <f>IFERROR(__xludf.DUMMYFUNCTION("""COMPUTED_VALUE"""),421.02)</f>
        <v>421.02</v>
      </c>
      <c r="AO49" s="25">
        <f>IFERROR(__xludf.DUMMYFUNCTION("""COMPUTED_VALUE"""),440.4)</f>
        <v>440.4</v>
      </c>
      <c r="AP49" s="25">
        <f>IFERROR(__xludf.DUMMYFUNCTION("""COMPUTED_VALUE"""),2.83829506E8)</f>
        <v>283829506</v>
      </c>
    </row>
    <row r="50">
      <c r="B50" s="27">
        <f>IFERROR(__xludf.DUMMYFUNCTION("""COMPUTED_VALUE"""),45933.66666666667)</f>
        <v>45933.66667</v>
      </c>
      <c r="C50" s="25">
        <f>IFERROR(__xludf.DUMMYFUNCTION("""COMPUTED_VALUE"""),248.28)</f>
        <v>248.28</v>
      </c>
      <c r="D50" s="25">
        <f>IFERROR(__xludf.DUMMYFUNCTION("""COMPUTED_VALUE"""),251.65)</f>
        <v>251.65</v>
      </c>
      <c r="E50" s="25">
        <f>IFERROR(__xludf.DUMMYFUNCTION("""COMPUTED_VALUE"""),239.2)</f>
        <v>239.2</v>
      </c>
      <c r="F50" s="25">
        <f>IFERROR(__xludf.DUMMYFUNCTION("""COMPUTED_VALUE"""),246.45)</f>
        <v>246.45</v>
      </c>
      <c r="G50" s="25">
        <f>IFERROR(__xludf.DUMMYFUNCTION("""COMPUTED_VALUE"""),1.10265001E8)</f>
        <v>110265001</v>
      </c>
      <c r="I50" s="32">
        <f>IFERROR(__xludf.DUMMYFUNCTION("""COMPUTED_VALUE"""),45933.66666666667)</f>
        <v>45933.66667</v>
      </c>
      <c r="J50" s="25">
        <f>IFERROR(__xludf.DUMMYFUNCTION("""COMPUTED_VALUE"""),254.56)</f>
        <v>254.56</v>
      </c>
      <c r="K50" s="25">
        <f>IFERROR(__xludf.DUMMYFUNCTION("""COMPUTED_VALUE"""),259.24)</f>
        <v>259.24</v>
      </c>
      <c r="L50" s="25">
        <f>IFERROR(__xludf.DUMMYFUNCTION("""COMPUTED_VALUE"""),253.01)</f>
        <v>253.01</v>
      </c>
      <c r="M50" s="25">
        <f>IFERROR(__xludf.DUMMYFUNCTION("""COMPUTED_VALUE"""),258.02)</f>
        <v>258.02</v>
      </c>
      <c r="N50" s="25">
        <f>IFERROR(__xludf.DUMMYFUNCTION("""COMPUTED_VALUE"""),2.18331739E8)</f>
        <v>218331739</v>
      </c>
      <c r="P50" s="32">
        <f>IFERROR(__xludf.DUMMYFUNCTION("""COMPUTED_VALUE"""),45933.66666666667)</f>
        <v>45933.66667</v>
      </c>
      <c r="Q50" s="25">
        <f>IFERROR(__xludf.DUMMYFUNCTION("""COMPUTED_VALUE"""),511.5)</f>
        <v>511.5</v>
      </c>
      <c r="R50" s="25">
        <f>IFERROR(__xludf.DUMMYFUNCTION("""COMPUTED_VALUE"""),521.6)</f>
        <v>521.6</v>
      </c>
      <c r="S50" s="25">
        <f>IFERROR(__xludf.DUMMYFUNCTION("""COMPUTED_VALUE"""),508.88)</f>
        <v>508.88</v>
      </c>
      <c r="T50" s="25">
        <f>IFERROR(__xludf.DUMMYFUNCTION("""COMPUTED_VALUE"""),517.35)</f>
        <v>517.35</v>
      </c>
      <c r="U50" s="25">
        <f>IFERROR(__xludf.DUMMYFUNCTION("""COMPUTED_VALUE"""),9.6313547E7)</f>
        <v>96313547</v>
      </c>
      <c r="W50" s="32">
        <f>IFERROR(__xludf.DUMMYFUNCTION("""COMPUTED_VALUE"""),45933.66666666667)</f>
        <v>45933.66667</v>
      </c>
      <c r="X50" s="25">
        <f>IFERROR(__xludf.DUMMYFUNCTION("""COMPUTED_VALUE"""),317.06)</f>
        <v>317.06</v>
      </c>
      <c r="Y50" s="25">
        <f>IFERROR(__xludf.DUMMYFUNCTION("""COMPUTED_VALUE"""),318.01)</f>
        <v>318.01</v>
      </c>
      <c r="Z50" s="25">
        <f>IFERROR(__xludf.DUMMYFUNCTION("""COMPUTED_VALUE"""),306.14)</f>
        <v>306.14</v>
      </c>
      <c r="AA50" s="25">
        <f>IFERROR(__xludf.DUMMYFUNCTION("""COMPUTED_VALUE"""),310.03)</f>
        <v>310.03</v>
      </c>
      <c r="AB50" s="25">
        <f>IFERROR(__xludf.DUMMYFUNCTION("""COMPUTED_VALUE"""),4.1150795E7)</f>
        <v>41150795</v>
      </c>
      <c r="AD50" s="32">
        <f>IFERROR(__xludf.DUMMYFUNCTION("""COMPUTED_VALUE"""),45933.66666666667)</f>
        <v>45933.66667</v>
      </c>
      <c r="AE50" s="25">
        <f>IFERROR(__xludf.DUMMYFUNCTION("""COMPUTED_VALUE"""),220.08)</f>
        <v>220.08</v>
      </c>
      <c r="AF50" s="25">
        <f>IFERROR(__xludf.DUMMYFUNCTION("""COMPUTED_VALUE"""),224.2)</f>
        <v>224.2</v>
      </c>
      <c r="AG50" s="25">
        <f>IFERROR(__xludf.DUMMYFUNCTION("""COMPUTED_VALUE"""),216.61)</f>
        <v>216.61</v>
      </c>
      <c r="AH50" s="25">
        <f>IFERROR(__xludf.DUMMYFUNCTION("""COMPUTED_VALUE"""),219.51)</f>
        <v>219.51</v>
      </c>
      <c r="AI50" s="25">
        <f>IFERROR(__xludf.DUMMYFUNCTION("""COMPUTED_VALUE"""),2.21486999E8)</f>
        <v>221486999</v>
      </c>
      <c r="AK50" s="32">
        <f>IFERROR(__xludf.DUMMYFUNCTION("""COMPUTED_VALUE"""),45933.66666666667)</f>
        <v>45933.66667</v>
      </c>
      <c r="AL50" s="25">
        <f>IFERROR(__xludf.DUMMYFUNCTION("""COMPUTED_VALUE"""),444.35)</f>
        <v>444.35</v>
      </c>
      <c r="AM50" s="25">
        <f>IFERROR(__xludf.DUMMYFUNCTION("""COMPUTED_VALUE"""),470.75)</f>
        <v>470.75</v>
      </c>
      <c r="AN50" s="25">
        <f>IFERROR(__xludf.DUMMYFUNCTION("""COMPUTED_VALUE"""),416.58)</f>
        <v>416.58</v>
      </c>
      <c r="AO50" s="25">
        <f>IFERROR(__xludf.DUMMYFUNCTION("""COMPUTED_VALUE"""),429.83)</f>
        <v>429.83</v>
      </c>
      <c r="AP50" s="25">
        <f>IFERROR(__xludf.DUMMYFUNCTION("""COMPUTED_VALUE"""),5.22168885E8)</f>
        <v>522168885</v>
      </c>
    </row>
    <row r="51">
      <c r="B51" s="27">
        <f>IFERROR(__xludf.DUMMYFUNCTION("""COMPUTED_VALUE"""),45940.66666666667)</f>
        <v>45940.66667</v>
      </c>
      <c r="C51" s="25">
        <f>IFERROR(__xludf.DUMMYFUNCTION("""COMPUTED_VALUE"""),245.78)</f>
        <v>245.78</v>
      </c>
      <c r="D51" s="25">
        <f>IFERROR(__xludf.DUMMYFUNCTION("""COMPUTED_VALUE"""),252.2)</f>
        <v>252.2</v>
      </c>
      <c r="E51" s="25">
        <f>IFERROR(__xludf.DUMMYFUNCTION("""COMPUTED_VALUE"""),236.69)</f>
        <v>236.69</v>
      </c>
      <c r="F51" s="25">
        <f>IFERROR(__xludf.DUMMYFUNCTION("""COMPUTED_VALUE"""),237.49)</f>
        <v>237.49</v>
      </c>
      <c r="G51" s="25">
        <f>IFERROR(__xludf.DUMMYFUNCTION("""COMPUTED_VALUE"""),8.8081503E7)</f>
        <v>88081503</v>
      </c>
      <c r="I51" s="32">
        <f>IFERROR(__xludf.DUMMYFUNCTION("""COMPUTED_VALUE"""),45940.66666666667)</f>
        <v>45940.66667</v>
      </c>
      <c r="J51" s="25">
        <f>IFERROR(__xludf.DUMMYFUNCTION("""COMPUTED_VALUE"""),257.99)</f>
        <v>257.99</v>
      </c>
      <c r="K51" s="25">
        <f>IFERROR(__xludf.DUMMYFUNCTION("""COMPUTED_VALUE"""),259.07)</f>
        <v>259.07</v>
      </c>
      <c r="L51" s="25">
        <f>IFERROR(__xludf.DUMMYFUNCTION("""COMPUTED_VALUE"""),244.0)</f>
        <v>244</v>
      </c>
      <c r="M51" s="25">
        <f>IFERROR(__xludf.DUMMYFUNCTION("""COMPUTED_VALUE"""),245.27)</f>
        <v>245.27</v>
      </c>
      <c r="N51" s="25">
        <f>IFERROR(__xludf.DUMMYFUNCTION("""COMPUTED_VALUE"""),2.13437899E8)</f>
        <v>213437899</v>
      </c>
      <c r="P51" s="32">
        <f>IFERROR(__xludf.DUMMYFUNCTION("""COMPUTED_VALUE"""),45940.66666666667)</f>
        <v>45940.66667</v>
      </c>
      <c r="Q51" s="25">
        <f>IFERROR(__xludf.DUMMYFUNCTION("""COMPUTED_VALUE"""),518.61)</f>
        <v>518.61</v>
      </c>
      <c r="R51" s="25">
        <f>IFERROR(__xludf.DUMMYFUNCTION("""COMPUTED_VALUE"""),531.03)</f>
        <v>531.03</v>
      </c>
      <c r="S51" s="25">
        <f>IFERROR(__xludf.DUMMYFUNCTION("""COMPUTED_VALUE"""),509.63)</f>
        <v>509.63</v>
      </c>
      <c r="T51" s="25">
        <f>IFERROR(__xludf.DUMMYFUNCTION("""COMPUTED_VALUE"""),510.96)</f>
        <v>510.96</v>
      </c>
      <c r="U51" s="25">
        <f>IFERROR(__xludf.DUMMYFUNCTION("""COMPUTED_VALUE"""),9.1844678E7)</f>
        <v>91844678</v>
      </c>
      <c r="W51" s="32">
        <f>IFERROR(__xludf.DUMMYFUNCTION("""COMPUTED_VALUE"""),45940.66666666667)</f>
        <v>45940.66667</v>
      </c>
      <c r="X51" s="25">
        <f>IFERROR(__xludf.DUMMYFUNCTION("""COMPUTED_VALUE"""),310.18)</f>
        <v>310.18</v>
      </c>
      <c r="Y51" s="25">
        <f>IFERROR(__xludf.DUMMYFUNCTION("""COMPUTED_VALUE"""),311.75)</f>
        <v>311.75</v>
      </c>
      <c r="Z51" s="25">
        <f>IFERROR(__xludf.DUMMYFUNCTION("""COMPUTED_VALUE"""),300.81)</f>
        <v>300.81</v>
      </c>
      <c r="AA51" s="25">
        <f>IFERROR(__xludf.DUMMYFUNCTION("""COMPUTED_VALUE"""),300.89)</f>
        <v>300.89</v>
      </c>
      <c r="AB51" s="25">
        <f>IFERROR(__xludf.DUMMYFUNCTION("""COMPUTED_VALUE"""),3.7816318E7)</f>
        <v>37816318</v>
      </c>
      <c r="AD51" s="32">
        <f>IFERROR(__xludf.DUMMYFUNCTION("""COMPUTED_VALUE"""),45940.66666666667)</f>
        <v>45940.66667</v>
      </c>
      <c r="AE51" s="25">
        <f>IFERROR(__xludf.DUMMYFUNCTION("""COMPUTED_VALUE"""),221.0)</f>
        <v>221</v>
      </c>
      <c r="AF51" s="25">
        <f>IFERROR(__xludf.DUMMYFUNCTION("""COMPUTED_VALUE"""),228.25)</f>
        <v>228.25</v>
      </c>
      <c r="AG51" s="25">
        <f>IFERROR(__xludf.DUMMYFUNCTION("""COMPUTED_VALUE"""),216.0)</f>
        <v>216</v>
      </c>
      <c r="AH51" s="25">
        <f>IFERROR(__xludf.DUMMYFUNCTION("""COMPUTED_VALUE"""),216.37)</f>
        <v>216.37</v>
      </c>
      <c r="AI51" s="25">
        <f>IFERROR(__xludf.DUMMYFUNCTION("""COMPUTED_VALUE"""),2.40351172E8)</f>
        <v>240351172</v>
      </c>
      <c r="AK51" s="32">
        <f>IFERROR(__xludf.DUMMYFUNCTION("""COMPUTED_VALUE"""),45940.66666666667)</f>
        <v>45940.66667</v>
      </c>
      <c r="AL51" s="25">
        <f>IFERROR(__xludf.DUMMYFUNCTION("""COMPUTED_VALUE"""),440.75)</f>
        <v>440.75</v>
      </c>
      <c r="AM51" s="25">
        <f>IFERROR(__xludf.DUMMYFUNCTION("""COMPUTED_VALUE"""),453.55)</f>
        <v>453.55</v>
      </c>
      <c r="AN51" s="25">
        <f>IFERROR(__xludf.DUMMYFUNCTION("""COMPUTED_VALUE"""),411.45)</f>
        <v>411.45</v>
      </c>
      <c r="AO51" s="25">
        <f>IFERROR(__xludf.DUMMYFUNCTION("""COMPUTED_VALUE"""),413.49)</f>
        <v>413.49</v>
      </c>
      <c r="AP51" s="25">
        <f>IFERROR(__xludf.DUMMYFUNCTION("""COMPUTED_VALUE"""),4.40260886E8)</f>
        <v>440260886</v>
      </c>
    </row>
    <row r="52">
      <c r="B52" s="27">
        <f>IFERROR(__xludf.DUMMYFUNCTION("""COMPUTED_VALUE"""),45947.66666666667)</f>
        <v>45947.66667</v>
      </c>
      <c r="C52" s="25">
        <f>IFERROR(__xludf.DUMMYFUNCTION("""COMPUTED_VALUE"""),241.03)</f>
        <v>241.03</v>
      </c>
      <c r="D52" s="25">
        <f>IFERROR(__xludf.DUMMYFUNCTION("""COMPUTED_VALUE"""),257.58)</f>
        <v>257.58</v>
      </c>
      <c r="E52" s="25">
        <f>IFERROR(__xludf.DUMMYFUNCTION("""COMPUTED_VALUE"""),240.75)</f>
        <v>240.75</v>
      </c>
      <c r="F52" s="25">
        <f>IFERROR(__xludf.DUMMYFUNCTION("""COMPUTED_VALUE"""),253.79)</f>
        <v>253.79</v>
      </c>
      <c r="G52" s="25">
        <f>IFERROR(__xludf.DUMMYFUNCTION("""COMPUTED_VALUE"""),8.2818235E7)</f>
        <v>82818235</v>
      </c>
      <c r="I52" s="32">
        <f>IFERROR(__xludf.DUMMYFUNCTION("""COMPUTED_VALUE"""),45947.66666666667)</f>
        <v>45947.66667</v>
      </c>
      <c r="J52" s="25">
        <f>IFERROR(__xludf.DUMMYFUNCTION("""COMPUTED_VALUE"""),249.38)</f>
        <v>249.38</v>
      </c>
      <c r="K52" s="25">
        <f>IFERROR(__xludf.DUMMYFUNCTION("""COMPUTED_VALUE"""),253.38)</f>
        <v>253.38</v>
      </c>
      <c r="L52" s="25">
        <f>IFERROR(__xludf.DUMMYFUNCTION("""COMPUTED_VALUE"""),244.7)</f>
        <v>244.7</v>
      </c>
      <c r="M52" s="25">
        <f>IFERROR(__xludf.DUMMYFUNCTION("""COMPUTED_VALUE"""),252.29)</f>
        <v>252.29</v>
      </c>
      <c r="N52" s="25">
        <f>IFERROR(__xludf.DUMMYFUNCTION("""COMPUTED_VALUE"""),1.96438474E8)</f>
        <v>196438474</v>
      </c>
      <c r="P52" s="32">
        <f>IFERROR(__xludf.DUMMYFUNCTION("""COMPUTED_VALUE"""),45947.66666666667)</f>
        <v>45947.66667</v>
      </c>
      <c r="Q52" s="25">
        <f>IFERROR(__xludf.DUMMYFUNCTION("""COMPUTED_VALUE"""),516.41)</f>
        <v>516.41</v>
      </c>
      <c r="R52" s="25">
        <f>IFERROR(__xludf.DUMMYFUNCTION("""COMPUTED_VALUE"""),517.19)</f>
        <v>517.19</v>
      </c>
      <c r="S52" s="25">
        <f>IFERROR(__xludf.DUMMYFUNCTION("""COMPUTED_VALUE"""),506.0)</f>
        <v>506</v>
      </c>
      <c r="T52" s="25">
        <f>IFERROR(__xludf.DUMMYFUNCTION("""COMPUTED_VALUE"""),513.58)</f>
        <v>513.58</v>
      </c>
      <c r="U52" s="25">
        <f>IFERROR(__xludf.DUMMYFUNCTION("""COMPUTED_VALUE"""),7.9090522E7)</f>
        <v>79090522</v>
      </c>
      <c r="W52" s="32">
        <f>IFERROR(__xludf.DUMMYFUNCTION("""COMPUTED_VALUE"""),45947.66666666667)</f>
        <v>45947.66667</v>
      </c>
      <c r="X52" s="25">
        <f>IFERROR(__xludf.DUMMYFUNCTION("""COMPUTED_VALUE"""),305.6)</f>
        <v>305.6</v>
      </c>
      <c r="Y52" s="25">
        <f>IFERROR(__xludf.DUMMYFUNCTION("""COMPUTED_VALUE"""),312.12)</f>
        <v>312.12</v>
      </c>
      <c r="Z52" s="25">
        <f>IFERROR(__xludf.DUMMYFUNCTION("""COMPUTED_VALUE"""),294.2)</f>
        <v>294.2</v>
      </c>
      <c r="AA52" s="25">
        <f>IFERROR(__xludf.DUMMYFUNCTION("""COMPUTED_VALUE"""),297.56)</f>
        <v>297.56</v>
      </c>
      <c r="AB52" s="25">
        <f>IFERROR(__xludf.DUMMYFUNCTION("""COMPUTED_VALUE"""),5.9025114E7)</f>
        <v>59025114</v>
      </c>
      <c r="AD52" s="32">
        <f>IFERROR(__xludf.DUMMYFUNCTION("""COMPUTED_VALUE"""),45947.66666666667)</f>
        <v>45947.66667</v>
      </c>
      <c r="AE52" s="25">
        <f>IFERROR(__xludf.DUMMYFUNCTION("""COMPUTED_VALUE"""),217.7)</f>
        <v>217.7</v>
      </c>
      <c r="AF52" s="25">
        <f>IFERROR(__xludf.DUMMYFUNCTION("""COMPUTED_VALUE"""),220.68)</f>
        <v>220.68</v>
      </c>
      <c r="AG52" s="25">
        <f>IFERROR(__xludf.DUMMYFUNCTION("""COMPUTED_VALUE"""),211.03)</f>
        <v>211.03</v>
      </c>
      <c r="AH52" s="25">
        <f>IFERROR(__xludf.DUMMYFUNCTION("""COMPUTED_VALUE"""),213.04)</f>
        <v>213.04</v>
      </c>
      <c r="AI52" s="25">
        <f>IFERROR(__xludf.DUMMYFUNCTION("""COMPUTED_VALUE"""),2.17786234E8)</f>
        <v>217786234</v>
      </c>
      <c r="AK52" s="32">
        <f>IFERROR(__xludf.DUMMYFUNCTION("""COMPUTED_VALUE"""),45947.66666666667)</f>
        <v>45947.66667</v>
      </c>
      <c r="AL52" s="25">
        <f>IFERROR(__xludf.DUMMYFUNCTION("""COMPUTED_VALUE"""),423.53)</f>
        <v>423.53</v>
      </c>
      <c r="AM52" s="25">
        <f>IFERROR(__xludf.DUMMYFUNCTION("""COMPUTED_VALUE"""),441.46)</f>
        <v>441.46</v>
      </c>
      <c r="AN52" s="25">
        <f>IFERROR(__xludf.DUMMYFUNCTION("""COMPUTED_VALUE"""),417.86)</f>
        <v>417.86</v>
      </c>
      <c r="AO52" s="25">
        <f>IFERROR(__xludf.DUMMYFUNCTION("""COMPUTED_VALUE"""),439.31)</f>
        <v>439.31</v>
      </c>
      <c r="AP52" s="25">
        <f>IFERROR(__xludf.DUMMYFUNCTION("""COMPUTED_VALUE"""),3.90301875E8)</f>
        <v>390301875</v>
      </c>
    </row>
    <row r="53">
      <c r="B53" s="27">
        <f>IFERROR(__xludf.DUMMYFUNCTION("""COMPUTED_VALUE"""),45954.66666666667)</f>
        <v>45954.66667</v>
      </c>
      <c r="C53" s="25">
        <f>IFERROR(__xludf.DUMMYFUNCTION("""COMPUTED_VALUE"""),255.23)</f>
        <v>255.23</v>
      </c>
      <c r="D53" s="25">
        <f>IFERROR(__xludf.DUMMYFUNCTION("""COMPUTED_VALUE"""),262.51)</f>
        <v>262.51</v>
      </c>
      <c r="E53" s="25">
        <f>IFERROR(__xludf.DUMMYFUNCTION("""COMPUTED_VALUE"""),244.67)</f>
        <v>244.67</v>
      </c>
      <c r="F53" s="25">
        <f>IFERROR(__xludf.DUMMYFUNCTION("""COMPUTED_VALUE"""),260.51)</f>
        <v>260.51</v>
      </c>
      <c r="G53" s="25">
        <f>IFERROR(__xludf.DUMMYFUNCTION("""COMPUTED_VALUE"""),9.2860785E7)</f>
        <v>92860785</v>
      </c>
      <c r="I53" s="32">
        <f>IFERROR(__xludf.DUMMYFUNCTION("""COMPUTED_VALUE"""),45954.66666666667)</f>
        <v>45954.66667</v>
      </c>
      <c r="J53" s="25">
        <f>IFERROR(__xludf.DUMMYFUNCTION("""COMPUTED_VALUE"""),255.89)</f>
        <v>255.89</v>
      </c>
      <c r="K53" s="25">
        <f>IFERROR(__xludf.DUMMYFUNCTION("""COMPUTED_VALUE"""),265.29)</f>
        <v>265.29</v>
      </c>
      <c r="L53" s="25">
        <f>IFERROR(__xludf.DUMMYFUNCTION("""COMPUTED_VALUE"""),255.43)</f>
        <v>255.43</v>
      </c>
      <c r="M53" s="25">
        <f>IFERROR(__xludf.DUMMYFUNCTION("""COMPUTED_VALUE"""),262.82)</f>
        <v>262.82</v>
      </c>
      <c r="N53" s="25">
        <f>IFERROR(__xludf.DUMMYFUNCTION("""COMPUTED_VALUE"""),2.53202889E8)</f>
        <v>253202889</v>
      </c>
      <c r="P53" s="32">
        <f>IFERROR(__xludf.DUMMYFUNCTION("""COMPUTED_VALUE"""),45954.66666666667)</f>
        <v>45954.66667</v>
      </c>
      <c r="Q53" s="25">
        <f>IFERROR(__xludf.DUMMYFUNCTION("""COMPUTED_VALUE"""),514.61)</f>
        <v>514.61</v>
      </c>
      <c r="R53" s="25">
        <f>IFERROR(__xludf.DUMMYFUNCTION("""COMPUTED_VALUE"""),525.35)</f>
        <v>525.35</v>
      </c>
      <c r="S53" s="25">
        <f>IFERROR(__xludf.DUMMYFUNCTION("""COMPUTED_VALUE"""),513.04)</f>
        <v>513.04</v>
      </c>
      <c r="T53" s="25">
        <f>IFERROR(__xludf.DUMMYFUNCTION("""COMPUTED_VALUE"""),523.61)</f>
        <v>523.61</v>
      </c>
      <c r="U53" s="25">
        <f>IFERROR(__xludf.DUMMYFUNCTION("""COMPUTED_VALUE"""),7.877041E7)</f>
        <v>78770410</v>
      </c>
      <c r="W53" s="32">
        <f>IFERROR(__xludf.DUMMYFUNCTION("""COMPUTED_VALUE"""),45954.66666666667)</f>
        <v>45954.66667</v>
      </c>
      <c r="X53" s="25">
        <f>IFERROR(__xludf.DUMMYFUNCTION("""COMPUTED_VALUE"""),298.5)</f>
        <v>298.5</v>
      </c>
      <c r="Y53" s="25">
        <f>IFERROR(__xludf.DUMMYFUNCTION("""COMPUTED_VALUE"""),304.05)</f>
        <v>304.05</v>
      </c>
      <c r="Z53" s="25">
        <f>IFERROR(__xludf.DUMMYFUNCTION("""COMPUTED_VALUE"""),290.54)</f>
        <v>290.54</v>
      </c>
      <c r="AA53" s="25">
        <f>IFERROR(__xludf.DUMMYFUNCTION("""COMPUTED_VALUE"""),300.44)</f>
        <v>300.44</v>
      </c>
      <c r="AB53" s="25">
        <f>IFERROR(__xludf.DUMMYFUNCTION("""COMPUTED_VALUE"""),3.4988869E7)</f>
        <v>34988869</v>
      </c>
      <c r="AD53" s="32">
        <f>IFERROR(__xludf.DUMMYFUNCTION("""COMPUTED_VALUE"""),45954.66666666667)</f>
        <v>45954.66667</v>
      </c>
      <c r="AE53" s="25">
        <f>IFERROR(__xludf.DUMMYFUNCTION("""COMPUTED_VALUE"""),213.88)</f>
        <v>213.88</v>
      </c>
      <c r="AF53" s="25">
        <f>IFERROR(__xludf.DUMMYFUNCTION("""COMPUTED_VALUE"""),225.4)</f>
        <v>225.4</v>
      </c>
      <c r="AG53" s="25">
        <f>IFERROR(__xludf.DUMMYFUNCTION("""COMPUTED_VALUE"""),213.59)</f>
        <v>213.59</v>
      </c>
      <c r="AH53" s="25">
        <f>IFERROR(__xludf.DUMMYFUNCTION("""COMPUTED_VALUE"""),224.21)</f>
        <v>224.21</v>
      </c>
      <c r="AI53" s="25">
        <f>IFERROR(__xludf.DUMMYFUNCTION("""COMPUTED_VALUE"""),2.03910974E8)</f>
        <v>203910974</v>
      </c>
      <c r="AK53" s="32">
        <f>IFERROR(__xludf.DUMMYFUNCTION("""COMPUTED_VALUE"""),45954.66666666667)</f>
        <v>45954.66667</v>
      </c>
      <c r="AL53" s="25">
        <f>IFERROR(__xludf.DUMMYFUNCTION("""COMPUTED_VALUE"""),443.87)</f>
        <v>443.87</v>
      </c>
      <c r="AM53" s="25">
        <f>IFERROR(__xludf.DUMMYFUNCTION("""COMPUTED_VALUE"""),451.68)</f>
        <v>451.68</v>
      </c>
      <c r="AN53" s="25">
        <f>IFERROR(__xludf.DUMMYFUNCTION("""COMPUTED_VALUE"""),413.9)</f>
        <v>413.9</v>
      </c>
      <c r="AO53" s="25">
        <f>IFERROR(__xludf.DUMMYFUNCTION("""COMPUTED_VALUE"""),433.72)</f>
        <v>433.72</v>
      </c>
      <c r="AP53" s="25">
        <f>IFERROR(__xludf.DUMMYFUNCTION("""COMPUTED_VALUE"""),4.23592205E8)</f>
        <v>423592205</v>
      </c>
    </row>
    <row r="54">
      <c r="B54" s="27">
        <f>IFERROR(__xludf.DUMMYFUNCTION("""COMPUTED_VALUE"""),45961.66666666667)</f>
        <v>45961.66667</v>
      </c>
      <c r="C54" s="25">
        <f>IFERROR(__xludf.DUMMYFUNCTION("""COMPUTED_VALUE"""),265.36)</f>
        <v>265.36</v>
      </c>
      <c r="D54" s="25">
        <f>IFERROR(__xludf.DUMMYFUNCTION("""COMPUTED_VALUE"""),291.93)</f>
        <v>291.93</v>
      </c>
      <c r="E54" s="25">
        <f>IFERROR(__xludf.DUMMYFUNCTION("""COMPUTED_VALUE"""),264.94)</f>
        <v>264.94</v>
      </c>
      <c r="F54" s="25">
        <f>IFERROR(__xludf.DUMMYFUNCTION("""COMPUTED_VALUE"""),281.82)</f>
        <v>281.82</v>
      </c>
      <c r="G54" s="25">
        <f>IFERROR(__xludf.DUMMYFUNCTION("""COMPUTED_VALUE"""),1.47879517E8)</f>
        <v>147879517</v>
      </c>
      <c r="I54" s="32">
        <f>IFERROR(__xludf.DUMMYFUNCTION("""COMPUTED_VALUE"""),45961.66666666667)</f>
        <v>45961.66667</v>
      </c>
      <c r="J54" s="25">
        <f>IFERROR(__xludf.DUMMYFUNCTION("""COMPUTED_VALUE"""),264.88)</f>
        <v>264.88</v>
      </c>
      <c r="K54" s="25">
        <f>IFERROR(__xludf.DUMMYFUNCTION("""COMPUTED_VALUE"""),277.32)</f>
        <v>277.32</v>
      </c>
      <c r="L54" s="25">
        <f>IFERROR(__xludf.DUMMYFUNCTION("""COMPUTED_VALUE"""),264.65)</f>
        <v>264.65</v>
      </c>
      <c r="M54" s="25">
        <f>IFERROR(__xludf.DUMMYFUNCTION("""COMPUTED_VALUE"""),270.37)</f>
        <v>270.37</v>
      </c>
      <c r="N54" s="25">
        <f>IFERROR(__xludf.DUMMYFUNCTION("""COMPUTED_VALUE"""),2.9356331E8)</f>
        <v>293563310</v>
      </c>
      <c r="P54" s="32">
        <f>IFERROR(__xludf.DUMMYFUNCTION("""COMPUTED_VALUE"""),45961.66666666667)</f>
        <v>45961.66667</v>
      </c>
      <c r="Q54" s="25">
        <f>IFERROR(__xludf.DUMMYFUNCTION("""COMPUTED_VALUE"""),531.78)</f>
        <v>531.78</v>
      </c>
      <c r="R54" s="25">
        <f>IFERROR(__xludf.DUMMYFUNCTION("""COMPUTED_VALUE"""),553.72)</f>
        <v>553.72</v>
      </c>
      <c r="S54" s="25">
        <f>IFERROR(__xludf.DUMMYFUNCTION("""COMPUTED_VALUE"""),515.1)</f>
        <v>515.1</v>
      </c>
      <c r="T54" s="25">
        <f>IFERROR(__xludf.DUMMYFUNCTION("""COMPUTED_VALUE"""),517.81)</f>
        <v>517.81</v>
      </c>
      <c r="U54" s="25">
        <f>IFERROR(__xludf.DUMMYFUNCTION("""COMPUTED_VALUE"""),1.59773915E8)</f>
        <v>159773915</v>
      </c>
      <c r="W54" s="32">
        <f>IFERROR(__xludf.DUMMYFUNCTION("""COMPUTED_VALUE"""),45961.66666666667)</f>
        <v>45961.66667</v>
      </c>
      <c r="X54" s="25">
        <f>IFERROR(__xludf.DUMMYFUNCTION("""COMPUTED_VALUE"""),302.16)</f>
        <v>302.16</v>
      </c>
      <c r="Y54" s="25">
        <f>IFERROR(__xludf.DUMMYFUNCTION("""COMPUTED_VALUE"""),312.87)</f>
        <v>312.87</v>
      </c>
      <c r="Z54" s="25">
        <f>IFERROR(__xludf.DUMMYFUNCTION("""COMPUTED_VALUE"""),301.01)</f>
        <v>301.01</v>
      </c>
      <c r="AA54" s="25">
        <f>IFERROR(__xludf.DUMMYFUNCTION("""COMPUTED_VALUE"""),311.12)</f>
        <v>311.12</v>
      </c>
      <c r="AB54" s="25">
        <f>IFERROR(__xludf.DUMMYFUNCTION("""COMPUTED_VALUE"""),3.4734392E7)</f>
        <v>34734392</v>
      </c>
      <c r="AD54" s="32">
        <f>IFERROR(__xludf.DUMMYFUNCTION("""COMPUTED_VALUE"""),45961.66666666667)</f>
        <v>45961.66667</v>
      </c>
      <c r="AE54" s="25">
        <f>IFERROR(__xludf.DUMMYFUNCTION("""COMPUTED_VALUE"""),227.66)</f>
        <v>227.66</v>
      </c>
      <c r="AF54" s="25">
        <f>IFERROR(__xludf.DUMMYFUNCTION("""COMPUTED_VALUE"""),250.5)</f>
        <v>250.5</v>
      </c>
      <c r="AG54" s="25">
        <f>IFERROR(__xludf.DUMMYFUNCTION("""COMPUTED_VALUE"""),222.75)</f>
        <v>222.75</v>
      </c>
      <c r="AH54" s="25">
        <f>IFERROR(__xludf.DUMMYFUNCTION("""COMPUTED_VALUE"""),244.22)</f>
        <v>244.22</v>
      </c>
      <c r="AI54" s="25">
        <f>IFERROR(__xludf.DUMMYFUNCTION("""COMPUTED_VALUE"""),4.05996917E8)</f>
        <v>405996917</v>
      </c>
      <c r="AK54" s="32">
        <f>IFERROR(__xludf.DUMMYFUNCTION("""COMPUTED_VALUE"""),45961.66666666667)</f>
        <v>45961.66667</v>
      </c>
      <c r="AL54" s="25">
        <f>IFERROR(__xludf.DUMMYFUNCTION("""COMPUTED_VALUE"""),439.98)</f>
        <v>439.98</v>
      </c>
      <c r="AM54" s="25">
        <f>IFERROR(__xludf.DUMMYFUNCTION("""COMPUTED_VALUE"""),467.0)</f>
        <v>467</v>
      </c>
      <c r="AN54" s="25">
        <f>IFERROR(__xludf.DUMMYFUNCTION("""COMPUTED_VALUE"""),438.69)</f>
        <v>438.69</v>
      </c>
      <c r="AO54" s="25">
        <f>IFERROR(__xludf.DUMMYFUNCTION("""COMPUTED_VALUE"""),456.56)</f>
        <v>456.56</v>
      </c>
      <c r="AP54" s="25">
        <f>IFERROR(__xludf.DUMMYFUNCTION("""COMPUTED_VALUE"""),4.09620483E8)</f>
        <v>409620483</v>
      </c>
    </row>
    <row r="55">
      <c r="B55" s="27">
        <f>IFERROR(__xludf.DUMMYFUNCTION("""COMPUTED_VALUE"""),45968.66666666667)</f>
        <v>45968.66667</v>
      </c>
      <c r="C55" s="25">
        <f>IFERROR(__xludf.DUMMYFUNCTION("""COMPUTED_VALUE"""),282.42)</f>
        <v>282.42</v>
      </c>
      <c r="D55" s="25">
        <f>IFERROR(__xludf.DUMMYFUNCTION("""COMPUTED_VALUE"""),288.81)</f>
        <v>288.81</v>
      </c>
      <c r="E55" s="25">
        <f>IFERROR(__xludf.DUMMYFUNCTION("""COMPUTED_VALUE"""),275.74)</f>
        <v>275.74</v>
      </c>
      <c r="F55" s="25">
        <f>IFERROR(__xludf.DUMMYFUNCTION("""COMPUTED_VALUE"""),279.7)</f>
        <v>279.7</v>
      </c>
      <c r="G55" s="25">
        <f>IFERROR(__xludf.DUMMYFUNCTION("""COMPUTED_VALUE"""),1.02973584E8)</f>
        <v>102973584</v>
      </c>
      <c r="I55" s="32">
        <f>IFERROR(__xludf.DUMMYFUNCTION("""COMPUTED_VALUE"""),45968.66666666667)</f>
        <v>45968.66667</v>
      </c>
      <c r="J55" s="25">
        <f>IFERROR(__xludf.DUMMYFUNCTION("""COMPUTED_VALUE"""),270.42)</f>
        <v>270.42</v>
      </c>
      <c r="K55" s="25">
        <f>IFERROR(__xludf.DUMMYFUNCTION("""COMPUTED_VALUE"""),273.4)</f>
        <v>273.4</v>
      </c>
      <c r="L55" s="25">
        <f>IFERROR(__xludf.DUMMYFUNCTION("""COMPUTED_VALUE"""),266.25)</f>
        <v>266.25</v>
      </c>
      <c r="M55" s="25">
        <f>IFERROR(__xludf.DUMMYFUNCTION("""COMPUTED_VALUE"""),268.47)</f>
        <v>268.47</v>
      </c>
      <c r="N55" s="25">
        <f>IFERROR(__xludf.DUMMYFUNCTION("""COMPUTED_VALUE"""),2.42583911E8)</f>
        <v>242583911</v>
      </c>
      <c r="P55" s="32">
        <f>IFERROR(__xludf.DUMMYFUNCTION("""COMPUTED_VALUE"""),45968.66666666667)</f>
        <v>45968.66667</v>
      </c>
      <c r="Q55" s="25">
        <f>IFERROR(__xludf.DUMMYFUNCTION("""COMPUTED_VALUE"""),519.8)</f>
        <v>519.8</v>
      </c>
      <c r="R55" s="25">
        <f>IFERROR(__xludf.DUMMYFUNCTION("""COMPUTED_VALUE"""),524.96)</f>
        <v>524.96</v>
      </c>
      <c r="S55" s="25">
        <f>IFERROR(__xludf.DUMMYFUNCTION("""COMPUTED_VALUE"""),493.25)</f>
        <v>493.25</v>
      </c>
      <c r="T55" s="25">
        <f>IFERROR(__xludf.DUMMYFUNCTION("""COMPUTED_VALUE"""),496.82)</f>
        <v>496.82</v>
      </c>
      <c r="U55" s="25">
        <f>IFERROR(__xludf.DUMMYFUNCTION("""COMPUTED_VALUE"""),1.17784007E8)</f>
        <v>117784007</v>
      </c>
      <c r="W55" s="32">
        <f>IFERROR(__xludf.DUMMYFUNCTION("""COMPUTED_VALUE"""),45968.66666666667)</f>
        <v>45968.66667</v>
      </c>
      <c r="X55" s="25">
        <f>IFERROR(__xludf.DUMMYFUNCTION("""COMPUTED_VALUE"""),311.0)</f>
        <v>311</v>
      </c>
      <c r="Y55" s="25">
        <f>IFERROR(__xludf.DUMMYFUNCTION("""COMPUTED_VALUE"""),314.84)</f>
        <v>314.84</v>
      </c>
      <c r="Z55" s="25">
        <f>IFERROR(__xludf.DUMMYFUNCTION("""COMPUTED_VALUE"""),305.1)</f>
        <v>305.1</v>
      </c>
      <c r="AA55" s="25">
        <f>IFERROR(__xludf.DUMMYFUNCTION("""COMPUTED_VALUE"""),314.21)</f>
        <v>314.21</v>
      </c>
      <c r="AB55" s="25">
        <f>IFERROR(__xludf.DUMMYFUNCTION("""COMPUTED_VALUE"""),3.622886E7)</f>
        <v>36228860</v>
      </c>
      <c r="AD55" s="32">
        <f>IFERROR(__xludf.DUMMYFUNCTION("""COMPUTED_VALUE"""),45968.66666666667)</f>
        <v>45968.66667</v>
      </c>
      <c r="AE55" s="25">
        <f>IFERROR(__xludf.DUMMYFUNCTION("""COMPUTED_VALUE"""),255.36)</f>
        <v>255.36</v>
      </c>
      <c r="AF55" s="25">
        <f>IFERROR(__xludf.DUMMYFUNCTION("""COMPUTED_VALUE"""),258.6)</f>
        <v>258.6</v>
      </c>
      <c r="AG55" s="25">
        <f>IFERROR(__xludf.DUMMYFUNCTION("""COMPUTED_VALUE"""),238.49)</f>
        <v>238.49</v>
      </c>
      <c r="AH55" s="25">
        <f>IFERROR(__xludf.DUMMYFUNCTION("""COMPUTED_VALUE"""),244.41)</f>
        <v>244.41</v>
      </c>
      <c r="AI55" s="25">
        <f>IFERROR(__xludf.DUMMYFUNCTION("""COMPUTED_VALUE"""),2.80533326E8)</f>
        <v>280533326</v>
      </c>
      <c r="AK55" s="32">
        <f>IFERROR(__xludf.DUMMYFUNCTION("""COMPUTED_VALUE"""),45968.66666666667)</f>
        <v>45968.66667</v>
      </c>
      <c r="AL55" s="25">
        <f>IFERROR(__xludf.DUMMYFUNCTION("""COMPUTED_VALUE"""),455.99)</f>
        <v>455.99</v>
      </c>
      <c r="AM55" s="25">
        <f>IFERROR(__xludf.DUMMYFUNCTION("""COMPUTED_VALUE"""),474.07)</f>
        <v>474.07</v>
      </c>
      <c r="AN55" s="25">
        <f>IFERROR(__xludf.DUMMYFUNCTION("""COMPUTED_VALUE"""),421.88)</f>
        <v>421.88</v>
      </c>
      <c r="AO55" s="25">
        <f>IFERROR(__xludf.DUMMYFUNCTION("""COMPUTED_VALUE"""),429.52)</f>
        <v>429.52</v>
      </c>
      <c r="AP55" s="25">
        <f>IFERROR(__xludf.DUMMYFUNCTION("""COMPUTED_VALUE"""),4.71019305E8)</f>
        <v>471019305</v>
      </c>
    </row>
    <row r="56">
      <c r="B56" s="27">
        <f>IFERROR(__xludf.DUMMYFUNCTION("""COMPUTED_VALUE"""),45975.66666666667)</f>
        <v>45975.66667</v>
      </c>
      <c r="C56" s="25">
        <f>IFERROR(__xludf.DUMMYFUNCTION("""COMPUTED_VALUE"""),285.27)</f>
        <v>285.27</v>
      </c>
      <c r="D56" s="25">
        <f>IFERROR(__xludf.DUMMYFUNCTION("""COMPUTED_VALUE"""),292.36)</f>
        <v>292.36</v>
      </c>
      <c r="E56" s="25">
        <f>IFERROR(__xludf.DUMMYFUNCTION("""COMPUTED_VALUE"""),271.41)</f>
        <v>271.41</v>
      </c>
      <c r="F56" s="25">
        <f>IFERROR(__xludf.DUMMYFUNCTION("""COMPUTED_VALUE"""),276.98)</f>
        <v>276.98</v>
      </c>
      <c r="G56" s="25">
        <f>IFERROR(__xludf.DUMMYFUNCTION("""COMPUTED_VALUE"""),8.7054446E7)</f>
        <v>87054446</v>
      </c>
      <c r="I56" s="32">
        <f>IFERROR(__xludf.DUMMYFUNCTION("""COMPUTED_VALUE"""),45975.66666666667)</f>
        <v>45975.66667</v>
      </c>
      <c r="J56" s="25">
        <f>IFERROR(__xludf.DUMMYFUNCTION("""COMPUTED_VALUE"""),268.96)</f>
        <v>268.96</v>
      </c>
      <c r="K56" s="25">
        <f>IFERROR(__xludf.DUMMYFUNCTION("""COMPUTED_VALUE"""),276.7)</f>
        <v>276.7</v>
      </c>
      <c r="L56" s="25">
        <f>IFERROR(__xludf.DUMMYFUNCTION("""COMPUTED_VALUE"""),267.46)</f>
        <v>267.46</v>
      </c>
      <c r="M56" s="25">
        <f>IFERROR(__xludf.DUMMYFUNCTION("""COMPUTED_VALUE"""),272.41)</f>
        <v>272.41</v>
      </c>
      <c r="N56" s="25">
        <f>IFERROR(__xludf.DUMMYFUNCTION("""COMPUTED_VALUE"""),2.32952837E8)</f>
        <v>232952837</v>
      </c>
      <c r="P56" s="32">
        <f>IFERROR(__xludf.DUMMYFUNCTION("""COMPUTED_VALUE"""),45975.66666666667)</f>
        <v>45975.66667</v>
      </c>
      <c r="Q56" s="25">
        <f>IFERROR(__xludf.DUMMYFUNCTION("""COMPUTED_VALUE"""),500.04)</f>
        <v>500.04</v>
      </c>
      <c r="R56" s="25">
        <f>IFERROR(__xludf.DUMMYFUNCTION("""COMPUTED_VALUE"""),513.5)</f>
        <v>513.5</v>
      </c>
      <c r="S56" s="25">
        <f>IFERROR(__xludf.DUMMYFUNCTION("""COMPUTED_VALUE"""),497.44)</f>
        <v>497.44</v>
      </c>
      <c r="T56" s="25">
        <f>IFERROR(__xludf.DUMMYFUNCTION("""COMPUTED_VALUE"""),510.18)</f>
        <v>510.18</v>
      </c>
      <c r="U56" s="25">
        <f>IFERROR(__xludf.DUMMYFUNCTION("""COMPUTED_VALUE"""),1.24435211E8)</f>
        <v>124435211</v>
      </c>
      <c r="W56" s="32">
        <f>IFERROR(__xludf.DUMMYFUNCTION("""COMPUTED_VALUE"""),45975.66666666667)</f>
        <v>45975.66667</v>
      </c>
      <c r="X56" s="25">
        <f>IFERROR(__xludf.DUMMYFUNCTION("""COMPUTED_VALUE"""),315.0)</f>
        <v>315</v>
      </c>
      <c r="Y56" s="25">
        <f>IFERROR(__xludf.DUMMYFUNCTION("""COMPUTED_VALUE"""),322.25)</f>
        <v>322.25</v>
      </c>
      <c r="Z56" s="25">
        <f>IFERROR(__xludf.DUMMYFUNCTION("""COMPUTED_VALUE"""),301.23)</f>
        <v>301.23</v>
      </c>
      <c r="AA56" s="25">
        <f>IFERROR(__xludf.DUMMYFUNCTION("""COMPUTED_VALUE"""),303.61)</f>
        <v>303.61</v>
      </c>
      <c r="AB56" s="25">
        <f>IFERROR(__xludf.DUMMYFUNCTION("""COMPUTED_VALUE"""),4.0703228E7)</f>
        <v>40703228</v>
      </c>
      <c r="AD56" s="32">
        <f>IFERROR(__xludf.DUMMYFUNCTION("""COMPUTED_VALUE"""),45975.66666666667)</f>
        <v>45975.66667</v>
      </c>
      <c r="AE56" s="25">
        <f>IFERROR(__xludf.DUMMYFUNCTION("""COMPUTED_VALUE"""),248.34)</f>
        <v>248.34</v>
      </c>
      <c r="AF56" s="25">
        <f>IFERROR(__xludf.DUMMYFUNCTION("""COMPUTED_VALUE"""),251.75)</f>
        <v>251.75</v>
      </c>
      <c r="AG56" s="25">
        <f>IFERROR(__xludf.DUMMYFUNCTION("""COMPUTED_VALUE"""),232.89)</f>
        <v>232.89</v>
      </c>
      <c r="AH56" s="25">
        <f>IFERROR(__xludf.DUMMYFUNCTION("""COMPUTED_VALUE"""),234.69)</f>
        <v>234.69</v>
      </c>
      <c r="AI56" s="25">
        <f>IFERROR(__xludf.DUMMYFUNCTION("""COMPUTED_VALUE"""),1.71589044E8)</f>
        <v>171589044</v>
      </c>
      <c r="AK56" s="32">
        <f>IFERROR(__xludf.DUMMYFUNCTION("""COMPUTED_VALUE"""),45975.66666666667)</f>
        <v>45975.66667</v>
      </c>
      <c r="AL56" s="25">
        <f>IFERROR(__xludf.DUMMYFUNCTION("""COMPUTED_VALUE"""),439.6)</f>
        <v>439.6</v>
      </c>
      <c r="AM56" s="25">
        <f>IFERROR(__xludf.DUMMYFUNCTION("""COMPUTED_VALUE"""),449.67)</f>
        <v>449.67</v>
      </c>
      <c r="AN56" s="25">
        <f>IFERROR(__xludf.DUMMYFUNCTION("""COMPUTED_VALUE"""),382.78)</f>
        <v>382.78</v>
      </c>
      <c r="AO56" s="25">
        <f>IFERROR(__xludf.DUMMYFUNCTION("""COMPUTED_VALUE"""),404.35)</f>
        <v>404.35</v>
      </c>
      <c r="AP56" s="25">
        <f>IFERROR(__xludf.DUMMYFUNCTION("""COMPUTED_VALUE"""),4.20017378E8)</f>
        <v>420017378</v>
      </c>
    </row>
    <row r="57">
      <c r="B57" s="27">
        <f>IFERROR(__xludf.DUMMYFUNCTION("""COMPUTED_VALUE"""),45982.66666666667)</f>
        <v>45982.66667</v>
      </c>
      <c r="C57" s="25">
        <f>IFERROR(__xludf.DUMMYFUNCTION("""COMPUTED_VALUE"""),286.4)</f>
        <v>286.4</v>
      </c>
      <c r="D57" s="25">
        <f>IFERROR(__xludf.DUMMYFUNCTION("""COMPUTED_VALUE"""),306.89)</f>
        <v>306.89</v>
      </c>
      <c r="E57" s="25">
        <f>IFERROR(__xludf.DUMMYFUNCTION("""COMPUTED_VALUE"""),279.01)</f>
        <v>279.01</v>
      </c>
      <c r="F57" s="25">
        <f>IFERROR(__xludf.DUMMYFUNCTION("""COMPUTED_VALUE"""),299.65)</f>
        <v>299.65</v>
      </c>
      <c r="G57" s="25">
        <f>IFERROR(__xludf.DUMMYFUNCTION("""COMPUTED_VALUE"""),1.85583877E8)</f>
        <v>185583877</v>
      </c>
      <c r="I57" s="32">
        <f>IFERROR(__xludf.DUMMYFUNCTION("""COMPUTED_VALUE"""),45982.66666666667)</f>
        <v>45982.66667</v>
      </c>
      <c r="J57" s="25">
        <f>IFERROR(__xludf.DUMMYFUNCTION("""COMPUTED_VALUE"""),268.82)</f>
        <v>268.82</v>
      </c>
      <c r="K57" s="25">
        <f>IFERROR(__xludf.DUMMYFUNCTION("""COMPUTED_VALUE"""),275.43)</f>
        <v>275.43</v>
      </c>
      <c r="L57" s="25">
        <f>IFERROR(__xludf.DUMMYFUNCTION("""COMPUTED_VALUE"""),265.32)</f>
        <v>265.32</v>
      </c>
      <c r="M57" s="25">
        <f>IFERROR(__xludf.DUMMYFUNCTION("""COMPUTED_VALUE"""),271.49)</f>
        <v>271.49</v>
      </c>
      <c r="N57" s="25">
        <f>IFERROR(__xludf.DUMMYFUNCTION("""COMPUTED_VALUE"""),2.3597443E8)</f>
        <v>235974430</v>
      </c>
      <c r="P57" s="32">
        <f>IFERROR(__xludf.DUMMYFUNCTION("""COMPUTED_VALUE"""),45982.66666666667)</f>
        <v>45982.66667</v>
      </c>
      <c r="Q57" s="25">
        <f>IFERROR(__xludf.DUMMYFUNCTION("""COMPUTED_VALUE"""),508.45)</f>
        <v>508.45</v>
      </c>
      <c r="R57" s="25">
        <f>IFERROR(__xludf.DUMMYFUNCTION("""COMPUTED_VALUE"""),512.12)</f>
        <v>512.12</v>
      </c>
      <c r="S57" s="25">
        <f>IFERROR(__xludf.DUMMYFUNCTION("""COMPUTED_VALUE"""),468.27)</f>
        <v>468.27</v>
      </c>
      <c r="T57" s="25">
        <f>IFERROR(__xludf.DUMMYFUNCTION("""COMPUTED_VALUE"""),472.12)</f>
        <v>472.12</v>
      </c>
      <c r="U57" s="25">
        <f>IFERROR(__xludf.DUMMYFUNCTION("""COMPUTED_VALUE"""),1.3472497E8)</f>
        <v>134724970</v>
      </c>
      <c r="W57" s="32">
        <f>IFERROR(__xludf.DUMMYFUNCTION("""COMPUTED_VALUE"""),45982.66666666667)</f>
        <v>45982.66667</v>
      </c>
      <c r="X57" s="25">
        <f>IFERROR(__xludf.DUMMYFUNCTION("""COMPUTED_VALUE"""),304.0)</f>
        <v>304</v>
      </c>
      <c r="Y57" s="25">
        <f>IFERROR(__xludf.DUMMYFUNCTION("""COMPUTED_VALUE"""),309.92)</f>
        <v>309.92</v>
      </c>
      <c r="Z57" s="25">
        <f>IFERROR(__xludf.DUMMYFUNCTION("""COMPUTED_VALUE"""),292.81)</f>
        <v>292.81</v>
      </c>
      <c r="AA57" s="25">
        <f>IFERROR(__xludf.DUMMYFUNCTION("""COMPUTED_VALUE"""),298.02)</f>
        <v>298.02</v>
      </c>
      <c r="AB57" s="25">
        <f>IFERROR(__xludf.DUMMYFUNCTION("""COMPUTED_VALUE"""),4.1236308E7)</f>
        <v>41236308</v>
      </c>
      <c r="AD57" s="32">
        <f>IFERROR(__xludf.DUMMYFUNCTION("""COMPUTED_VALUE"""),45982.66666666667)</f>
        <v>45982.66667</v>
      </c>
      <c r="AE57" s="25">
        <f>IFERROR(__xludf.DUMMYFUNCTION("""COMPUTED_VALUE"""),233.25)</f>
        <v>233.25</v>
      </c>
      <c r="AF57" s="25">
        <f>IFERROR(__xludf.DUMMYFUNCTION("""COMPUTED_VALUE"""),234.6)</f>
        <v>234.6</v>
      </c>
      <c r="AG57" s="25">
        <f>IFERROR(__xludf.DUMMYFUNCTION("""COMPUTED_VALUE"""),215.18)</f>
        <v>215.18</v>
      </c>
      <c r="AH57" s="25">
        <f>IFERROR(__xludf.DUMMYFUNCTION("""COMPUTED_VALUE"""),220.69)</f>
        <v>220.69</v>
      </c>
      <c r="AI57" s="25">
        <f>IFERROR(__xludf.DUMMYFUNCTION("""COMPUTED_VALUE"""),2.97662529E8)</f>
        <v>297662529</v>
      </c>
      <c r="AK57" s="32">
        <f>IFERROR(__xludf.DUMMYFUNCTION("""COMPUTED_VALUE"""),45982.66666666667)</f>
        <v>45982.66667</v>
      </c>
      <c r="AL57" s="25">
        <f>IFERROR(__xludf.DUMMYFUNCTION("""COMPUTED_VALUE"""),398.74)</f>
        <v>398.74</v>
      </c>
      <c r="AM57" s="25">
        <f>IFERROR(__xludf.DUMMYFUNCTION("""COMPUTED_VALUE"""),428.94)</f>
        <v>428.94</v>
      </c>
      <c r="AN57" s="25">
        <f>IFERROR(__xludf.DUMMYFUNCTION("""COMPUTED_VALUE"""),383.76)</f>
        <v>383.76</v>
      </c>
      <c r="AO57" s="25">
        <f>IFERROR(__xludf.DUMMYFUNCTION("""COMPUTED_VALUE"""),391.09)</f>
        <v>391.09</v>
      </c>
      <c r="AP57" s="25">
        <f>IFERROR(__xludf.DUMMYFUNCTION("""COMPUTED_VALUE"""),4.6896006E8)</f>
        <v>468960060</v>
      </c>
    </row>
    <row r="58">
      <c r="B58" s="27"/>
    </row>
    <row r="59">
      <c r="F59" s="53" t="s">
        <v>55</v>
      </c>
      <c r="M59" s="53" t="s">
        <v>56</v>
      </c>
      <c r="T59" s="53" t="s">
        <v>57</v>
      </c>
      <c r="AA59" s="53" t="s">
        <v>58</v>
      </c>
      <c r="AH59" s="53" t="s">
        <v>59</v>
      </c>
      <c r="AO59" s="53" t="s">
        <v>60</v>
      </c>
    </row>
    <row r="61">
      <c r="B61" s="53" t="s">
        <v>19</v>
      </c>
      <c r="I61" s="53" t="s">
        <v>15</v>
      </c>
      <c r="P61" s="53" t="s">
        <v>17</v>
      </c>
      <c r="W61" s="53" t="s">
        <v>23</v>
      </c>
    </row>
    <row r="62">
      <c r="B62" s="56" t="str">
        <f>IFERROR(__xludf.DUMMYFUNCTION("GOOGLEFINANCE(""PFE"",""ALL"",TODAY()-365,TODAY(),""WEEKLY"")"),"Date")</f>
        <v>Date</v>
      </c>
      <c r="C62" s="56" t="str">
        <f>IFERROR(__xludf.DUMMYFUNCTION("""COMPUTED_VALUE"""),"Open")</f>
        <v>Open</v>
      </c>
      <c r="D62" s="56" t="str">
        <f>IFERROR(__xludf.DUMMYFUNCTION("""COMPUTED_VALUE"""),"High")</f>
        <v>High</v>
      </c>
      <c r="E62" s="56" t="str">
        <f>IFERROR(__xludf.DUMMYFUNCTION("""COMPUTED_VALUE"""),"Low")</f>
        <v>Low</v>
      </c>
      <c r="F62" s="56" t="str">
        <f>IFERROR(__xludf.DUMMYFUNCTION("""COMPUTED_VALUE"""),"Close")</f>
        <v>Close</v>
      </c>
      <c r="G62" s="56" t="str">
        <f>IFERROR(__xludf.DUMMYFUNCTION("""COMPUTED_VALUE"""),"Volume")</f>
        <v>Volume</v>
      </c>
      <c r="I62" s="56" t="str">
        <f>IFERROR(__xludf.DUMMYFUNCTION("GOOGLEFINANCE(""intc"",""ALL"",TODAY()-365,TODAY(),""WEEKLY"")"),"Date")</f>
        <v>Date</v>
      </c>
      <c r="J62" s="56" t="str">
        <f>IFERROR(__xludf.DUMMYFUNCTION("""COMPUTED_VALUE"""),"Open")</f>
        <v>Open</v>
      </c>
      <c r="K62" s="56" t="str">
        <f>IFERROR(__xludf.DUMMYFUNCTION("""COMPUTED_VALUE"""),"High")</f>
        <v>High</v>
      </c>
      <c r="L62" s="56" t="str">
        <f>IFERROR(__xludf.DUMMYFUNCTION("""COMPUTED_VALUE"""),"Low")</f>
        <v>Low</v>
      </c>
      <c r="M62" s="56" t="str">
        <f>IFERROR(__xludf.DUMMYFUNCTION("""COMPUTED_VALUE"""),"Close")</f>
        <v>Close</v>
      </c>
      <c r="N62" s="56" t="str">
        <f>IFERROR(__xludf.DUMMYFUNCTION("""COMPUTED_VALUE"""),"Volume")</f>
        <v>Volume</v>
      </c>
      <c r="P62" s="56" t="str">
        <f>IFERROR(__xludf.DUMMYFUNCTION("GOOGLEFINANCE(""ko"",""ALL"",TODAY()-365,TODAY(),""WEEKLY"")"),"Date")</f>
        <v>Date</v>
      </c>
      <c r="Q62" s="56" t="str">
        <f>IFERROR(__xludf.DUMMYFUNCTION("""COMPUTED_VALUE"""),"Open")</f>
        <v>Open</v>
      </c>
      <c r="R62" s="56" t="str">
        <f>IFERROR(__xludf.DUMMYFUNCTION("""COMPUTED_VALUE"""),"High")</f>
        <v>High</v>
      </c>
      <c r="S62" s="56" t="str">
        <f>IFERROR(__xludf.DUMMYFUNCTION("""COMPUTED_VALUE"""),"Low")</f>
        <v>Low</v>
      </c>
      <c r="T62" s="56" t="str">
        <f>IFERROR(__xludf.DUMMYFUNCTION("""COMPUTED_VALUE"""),"Close")</f>
        <v>Close</v>
      </c>
      <c r="U62" s="56" t="str">
        <f>IFERROR(__xludf.DUMMYFUNCTION("""COMPUTED_VALUE"""),"Volume")</f>
        <v>Volume</v>
      </c>
      <c r="W62" s="56" t="str">
        <f>IFERROR(__xludf.DUMMYFUNCTION("GOOGLEFINANCE(""NVDA"",""ALL"",TODAY()-365,TODAY(),""WEEKLY"")"),"Date")</f>
        <v>Date</v>
      </c>
      <c r="X62" s="56" t="str">
        <f>IFERROR(__xludf.DUMMYFUNCTION("""COMPUTED_VALUE"""),"Open")</f>
        <v>Open</v>
      </c>
      <c r="Y62" s="56" t="str">
        <f>IFERROR(__xludf.DUMMYFUNCTION("""COMPUTED_VALUE"""),"High")</f>
        <v>High</v>
      </c>
      <c r="Z62" s="56" t="str">
        <f>IFERROR(__xludf.DUMMYFUNCTION("""COMPUTED_VALUE"""),"Low")</f>
        <v>Low</v>
      </c>
      <c r="AA62" s="56" t="str">
        <f>IFERROR(__xludf.DUMMYFUNCTION("""COMPUTED_VALUE"""),"Close")</f>
        <v>Close</v>
      </c>
      <c r="AB62" s="56" t="str">
        <f>IFERROR(__xludf.DUMMYFUNCTION("""COMPUTED_VALUE"""),"Volume")</f>
        <v>Volume</v>
      </c>
    </row>
    <row r="63">
      <c r="B63" s="32">
        <f>IFERROR(__xludf.DUMMYFUNCTION("""COMPUTED_VALUE"""),45625.54166666667)</f>
        <v>45625.54167</v>
      </c>
      <c r="C63" s="25">
        <f>IFERROR(__xludf.DUMMYFUNCTION("""COMPUTED_VALUE"""),25.75)</f>
        <v>25.75</v>
      </c>
      <c r="D63" s="25">
        <f>IFERROR(__xludf.DUMMYFUNCTION("""COMPUTED_VALUE"""),26.45)</f>
        <v>26.45</v>
      </c>
      <c r="E63" s="25">
        <f>IFERROR(__xludf.DUMMYFUNCTION("""COMPUTED_VALUE"""),25.61)</f>
        <v>25.61</v>
      </c>
      <c r="F63" s="25">
        <f>IFERROR(__xludf.DUMMYFUNCTION("""COMPUTED_VALUE"""),26.21)</f>
        <v>26.21</v>
      </c>
      <c r="G63" s="25">
        <f>IFERROR(__xludf.DUMMYFUNCTION("""COMPUTED_VALUE"""),1.40973774E8)</f>
        <v>140973774</v>
      </c>
      <c r="I63" s="32">
        <f>IFERROR(__xludf.DUMMYFUNCTION("""COMPUTED_VALUE"""),45625.54513888889)</f>
        <v>45625.54514</v>
      </c>
      <c r="J63" s="25">
        <f>IFERROR(__xludf.DUMMYFUNCTION("""COMPUTED_VALUE"""),25.04)</f>
        <v>25.04</v>
      </c>
      <c r="K63" s="25">
        <f>IFERROR(__xludf.DUMMYFUNCTION("""COMPUTED_VALUE"""),25.57)</f>
        <v>25.57</v>
      </c>
      <c r="L63" s="25">
        <f>IFERROR(__xludf.DUMMYFUNCTION("""COMPUTED_VALUE"""),23.06)</f>
        <v>23.06</v>
      </c>
      <c r="M63" s="25">
        <f>IFERROR(__xludf.DUMMYFUNCTION("""COMPUTED_VALUE"""),24.05)</f>
        <v>24.05</v>
      </c>
      <c r="N63" s="25">
        <f>IFERROR(__xludf.DUMMYFUNCTION("""COMPUTED_VALUE"""),2.51351013E8)</f>
        <v>251351013</v>
      </c>
      <c r="P63" s="32">
        <f>IFERROR(__xludf.DUMMYFUNCTION("""COMPUTED_VALUE"""),45625.54166666667)</f>
        <v>45625.54167</v>
      </c>
      <c r="Q63" s="25">
        <f>IFERROR(__xludf.DUMMYFUNCTION("""COMPUTED_VALUE"""),64.32)</f>
        <v>64.32</v>
      </c>
      <c r="R63" s="25">
        <f>IFERROR(__xludf.DUMMYFUNCTION("""COMPUTED_VALUE"""),65.1)</f>
        <v>65.1</v>
      </c>
      <c r="S63" s="25">
        <f>IFERROR(__xludf.DUMMYFUNCTION("""COMPUTED_VALUE"""),63.77)</f>
        <v>63.77</v>
      </c>
      <c r="T63" s="25">
        <f>IFERROR(__xludf.DUMMYFUNCTION("""COMPUTED_VALUE"""),64.08)</f>
        <v>64.08</v>
      </c>
      <c r="U63" s="25">
        <f>IFERROR(__xludf.DUMMYFUNCTION("""COMPUTED_VALUE"""),7.519028E7)</f>
        <v>75190280</v>
      </c>
      <c r="W63" s="32">
        <f>IFERROR(__xludf.DUMMYFUNCTION("""COMPUTED_VALUE"""),45625.54513888889)</f>
        <v>45625.54514</v>
      </c>
      <c r="X63" s="25">
        <f>IFERROR(__xludf.DUMMYFUNCTION("""COMPUTED_VALUE"""),141.99)</f>
        <v>141.99</v>
      </c>
      <c r="Y63" s="25">
        <f>IFERROR(__xludf.DUMMYFUNCTION("""COMPUTED_VALUE"""),142.05)</f>
        <v>142.05</v>
      </c>
      <c r="Z63" s="25">
        <f>IFERROR(__xludf.DUMMYFUNCTION("""COMPUTED_VALUE"""),131.8)</f>
        <v>131.8</v>
      </c>
      <c r="AA63" s="25">
        <f>IFERROR(__xludf.DUMMYFUNCTION("""COMPUTED_VALUE"""),138.25)</f>
        <v>138.25</v>
      </c>
      <c r="AB63" s="25">
        <f>IFERROR(__xludf.DUMMYFUNCTION("""COMPUTED_VALUE"""),9.03463597E8)</f>
        <v>903463597</v>
      </c>
    </row>
    <row r="64">
      <c r="B64" s="32">
        <f>IFERROR(__xludf.DUMMYFUNCTION("""COMPUTED_VALUE"""),45632.66666666667)</f>
        <v>45632.66667</v>
      </c>
      <c r="C64" s="25">
        <f>IFERROR(__xludf.DUMMYFUNCTION("""COMPUTED_VALUE"""),26.07)</f>
        <v>26.07</v>
      </c>
      <c r="D64" s="25">
        <f>IFERROR(__xludf.DUMMYFUNCTION("""COMPUTED_VALUE"""),26.22)</f>
        <v>26.22</v>
      </c>
      <c r="E64" s="25">
        <f>IFERROR(__xludf.DUMMYFUNCTION("""COMPUTED_VALUE"""),25.14)</f>
        <v>25.14</v>
      </c>
      <c r="F64" s="25">
        <f>IFERROR(__xludf.DUMMYFUNCTION("""COMPUTED_VALUE"""),25.73)</f>
        <v>25.73</v>
      </c>
      <c r="G64" s="25">
        <f>IFERROR(__xludf.DUMMYFUNCTION("""COMPUTED_VALUE"""),2.10950798E8)</f>
        <v>210950798</v>
      </c>
      <c r="I64" s="32">
        <f>IFERROR(__xludf.DUMMYFUNCTION("""COMPUTED_VALUE"""),45632.66666666667)</f>
        <v>45632.66667</v>
      </c>
      <c r="J64" s="25">
        <f>IFERROR(__xludf.DUMMYFUNCTION("""COMPUTED_VALUE"""),24.84)</f>
        <v>24.84</v>
      </c>
      <c r="K64" s="25">
        <f>IFERROR(__xludf.DUMMYFUNCTION("""COMPUTED_VALUE"""),25.48)</f>
        <v>25.48</v>
      </c>
      <c r="L64" s="25">
        <f>IFERROR(__xludf.DUMMYFUNCTION("""COMPUTED_VALUE"""),20.66)</f>
        <v>20.66</v>
      </c>
      <c r="M64" s="25">
        <f>IFERROR(__xludf.DUMMYFUNCTION("""COMPUTED_VALUE"""),20.92)</f>
        <v>20.92</v>
      </c>
      <c r="N64" s="25">
        <f>IFERROR(__xludf.DUMMYFUNCTION("""COMPUTED_VALUE"""),6.39839968E8)</f>
        <v>639839968</v>
      </c>
      <c r="P64" s="32">
        <f>IFERROR(__xludf.DUMMYFUNCTION("""COMPUTED_VALUE"""),45632.66666666667)</f>
        <v>45632.66667</v>
      </c>
      <c r="Q64" s="25">
        <f>IFERROR(__xludf.DUMMYFUNCTION("""COMPUTED_VALUE"""),64.05)</f>
        <v>64.05</v>
      </c>
      <c r="R64" s="25">
        <f>IFERROR(__xludf.DUMMYFUNCTION("""COMPUTED_VALUE"""),64.19)</f>
        <v>64.19</v>
      </c>
      <c r="S64" s="25">
        <f>IFERROR(__xludf.DUMMYFUNCTION("""COMPUTED_VALUE"""),61.9)</f>
        <v>61.9</v>
      </c>
      <c r="T64" s="25">
        <f>IFERROR(__xludf.DUMMYFUNCTION("""COMPUTED_VALUE"""),62.53)</f>
        <v>62.53</v>
      </c>
      <c r="U64" s="25">
        <f>IFERROR(__xludf.DUMMYFUNCTION("""COMPUTED_VALUE"""),1.06133752E8)</f>
        <v>106133752</v>
      </c>
      <c r="W64" s="32">
        <f>IFERROR(__xludf.DUMMYFUNCTION("""COMPUTED_VALUE"""),45632.66666666667)</f>
        <v>45632.66667</v>
      </c>
      <c r="X64" s="25">
        <f>IFERROR(__xludf.DUMMYFUNCTION("""COMPUTED_VALUE"""),138.83)</f>
        <v>138.83</v>
      </c>
      <c r="Y64" s="25">
        <f>IFERROR(__xludf.DUMMYFUNCTION("""COMPUTED_VALUE"""),146.54)</f>
        <v>146.54</v>
      </c>
      <c r="Z64" s="25">
        <f>IFERROR(__xludf.DUMMYFUNCTION("""COMPUTED_VALUE"""),137.82)</f>
        <v>137.82</v>
      </c>
      <c r="AA64" s="25">
        <f>IFERROR(__xludf.DUMMYFUNCTION("""COMPUTED_VALUE"""),142.44)</f>
        <v>142.44</v>
      </c>
      <c r="AB64" s="25">
        <f>IFERROR(__xludf.DUMMYFUNCTION("""COMPUTED_VALUE"""),9.2844779E8)</f>
        <v>928447790</v>
      </c>
    </row>
    <row r="65">
      <c r="B65" s="32">
        <f>IFERROR(__xludf.DUMMYFUNCTION("""COMPUTED_VALUE"""),45639.66666666667)</f>
        <v>45639.66667</v>
      </c>
      <c r="C65" s="25">
        <f>IFERROR(__xludf.DUMMYFUNCTION("""COMPUTED_VALUE"""),25.76)</f>
        <v>25.76</v>
      </c>
      <c r="D65" s="25">
        <f>IFERROR(__xludf.DUMMYFUNCTION("""COMPUTED_VALUE"""),26.44)</f>
        <v>26.44</v>
      </c>
      <c r="E65" s="25">
        <f>IFERROR(__xludf.DUMMYFUNCTION("""COMPUTED_VALUE"""),25.06)</f>
        <v>25.06</v>
      </c>
      <c r="F65" s="25">
        <f>IFERROR(__xludf.DUMMYFUNCTION("""COMPUTED_VALUE"""),25.58)</f>
        <v>25.58</v>
      </c>
      <c r="G65" s="25">
        <f>IFERROR(__xludf.DUMMYFUNCTION("""COMPUTED_VALUE"""),1.88063388E8)</f>
        <v>188063388</v>
      </c>
      <c r="I65" s="32">
        <f>IFERROR(__xludf.DUMMYFUNCTION("""COMPUTED_VALUE"""),45639.66666666667)</f>
        <v>45639.66667</v>
      </c>
      <c r="J65" s="25">
        <f>IFERROR(__xludf.DUMMYFUNCTION("""COMPUTED_VALUE"""),20.92)</f>
        <v>20.92</v>
      </c>
      <c r="K65" s="25">
        <f>IFERROR(__xludf.DUMMYFUNCTION("""COMPUTED_VALUE"""),21.06)</f>
        <v>21.06</v>
      </c>
      <c r="L65" s="25">
        <f>IFERROR(__xludf.DUMMYFUNCTION("""COMPUTED_VALUE"""),19.87)</f>
        <v>19.87</v>
      </c>
      <c r="M65" s="25">
        <f>IFERROR(__xludf.DUMMYFUNCTION("""COMPUTED_VALUE"""),20.34)</f>
        <v>20.34</v>
      </c>
      <c r="N65" s="25">
        <f>IFERROR(__xludf.DUMMYFUNCTION("""COMPUTED_VALUE"""),3.66831481E8)</f>
        <v>366831481</v>
      </c>
      <c r="P65" s="32">
        <f>IFERROR(__xludf.DUMMYFUNCTION("""COMPUTED_VALUE"""),45639.66666666667)</f>
        <v>45639.66667</v>
      </c>
      <c r="Q65" s="25">
        <f>IFERROR(__xludf.DUMMYFUNCTION("""COMPUTED_VALUE"""),62.69)</f>
        <v>62.69</v>
      </c>
      <c r="R65" s="25">
        <f>IFERROR(__xludf.DUMMYFUNCTION("""COMPUTED_VALUE"""),63.92)</f>
        <v>63.92</v>
      </c>
      <c r="S65" s="25">
        <f>IFERROR(__xludf.DUMMYFUNCTION("""COMPUTED_VALUE"""),61.79)</f>
        <v>61.79</v>
      </c>
      <c r="T65" s="25">
        <f>IFERROR(__xludf.DUMMYFUNCTION("""COMPUTED_VALUE"""),63.12)</f>
        <v>63.12</v>
      </c>
      <c r="U65" s="25">
        <f>IFERROR(__xludf.DUMMYFUNCTION("""COMPUTED_VALUE"""),1.01087881E8)</f>
        <v>101087881</v>
      </c>
      <c r="W65" s="32">
        <f>IFERROR(__xludf.DUMMYFUNCTION("""COMPUTED_VALUE"""),45639.66666666667)</f>
        <v>45639.66667</v>
      </c>
      <c r="X65" s="25">
        <f>IFERROR(__xludf.DUMMYFUNCTION("""COMPUTED_VALUE"""),138.97)</f>
        <v>138.97</v>
      </c>
      <c r="Y65" s="25">
        <f>IFERROR(__xludf.DUMMYFUNCTION("""COMPUTED_VALUE"""),141.82)</f>
        <v>141.82</v>
      </c>
      <c r="Z65" s="25">
        <f>IFERROR(__xludf.DUMMYFUNCTION("""COMPUTED_VALUE"""),132.54)</f>
        <v>132.54</v>
      </c>
      <c r="AA65" s="25">
        <f>IFERROR(__xludf.DUMMYFUNCTION("""COMPUTED_VALUE"""),134.25)</f>
        <v>134.25</v>
      </c>
      <c r="AB65" s="25">
        <f>IFERROR(__xludf.DUMMYFUNCTION("""COMPUTED_VALUE"""),9.74960979E8)</f>
        <v>974960979</v>
      </c>
    </row>
    <row r="66">
      <c r="B66" s="32">
        <f>IFERROR(__xludf.DUMMYFUNCTION("""COMPUTED_VALUE"""),45646.66666666667)</f>
        <v>45646.66667</v>
      </c>
      <c r="C66" s="25">
        <f>IFERROR(__xludf.DUMMYFUNCTION("""COMPUTED_VALUE"""),25.59)</f>
        <v>25.59</v>
      </c>
      <c r="D66" s="25">
        <f>IFERROR(__xludf.DUMMYFUNCTION("""COMPUTED_VALUE"""),26.52)</f>
        <v>26.52</v>
      </c>
      <c r="E66" s="25">
        <f>IFERROR(__xludf.DUMMYFUNCTION("""COMPUTED_VALUE"""),25.22)</f>
        <v>25.22</v>
      </c>
      <c r="F66" s="25">
        <f>IFERROR(__xludf.DUMMYFUNCTION("""COMPUTED_VALUE"""),26.36)</f>
        <v>26.36</v>
      </c>
      <c r="G66" s="25">
        <f>IFERROR(__xludf.DUMMYFUNCTION("""COMPUTED_VALUE"""),3.258741E8)</f>
        <v>325874100</v>
      </c>
      <c r="I66" s="32">
        <f>IFERROR(__xludf.DUMMYFUNCTION("""COMPUTED_VALUE"""),45646.66666666667)</f>
        <v>45646.66667</v>
      </c>
      <c r="J66" s="25">
        <f>IFERROR(__xludf.DUMMYFUNCTION("""COMPUTED_VALUE"""),20.17)</f>
        <v>20.17</v>
      </c>
      <c r="K66" s="25">
        <f>IFERROR(__xludf.DUMMYFUNCTION("""COMPUTED_VALUE"""),21.1)</f>
        <v>21.1</v>
      </c>
      <c r="L66" s="25">
        <f>IFERROR(__xludf.DUMMYFUNCTION("""COMPUTED_VALUE"""),18.9)</f>
        <v>18.9</v>
      </c>
      <c r="M66" s="25">
        <f>IFERROR(__xludf.DUMMYFUNCTION("""COMPUTED_VALUE"""),19.52)</f>
        <v>19.52</v>
      </c>
      <c r="N66" s="25">
        <f>IFERROR(__xludf.DUMMYFUNCTION("""COMPUTED_VALUE"""),3.89212759E8)</f>
        <v>389212759</v>
      </c>
      <c r="P66" s="32">
        <f>IFERROR(__xludf.DUMMYFUNCTION("""COMPUTED_VALUE"""),45646.66666666667)</f>
        <v>45646.66667</v>
      </c>
      <c r="Q66" s="25">
        <f>IFERROR(__xludf.DUMMYFUNCTION("""COMPUTED_VALUE"""),63.23)</f>
        <v>63.23</v>
      </c>
      <c r="R66" s="25">
        <f>IFERROR(__xludf.DUMMYFUNCTION("""COMPUTED_VALUE"""),63.86)</f>
        <v>63.86</v>
      </c>
      <c r="S66" s="25">
        <f>IFERROR(__xludf.DUMMYFUNCTION("""COMPUTED_VALUE"""),62.28)</f>
        <v>62.28</v>
      </c>
      <c r="T66" s="25">
        <f>IFERROR(__xludf.DUMMYFUNCTION("""COMPUTED_VALUE"""),62.55)</f>
        <v>62.55</v>
      </c>
      <c r="U66" s="25">
        <f>IFERROR(__xludf.DUMMYFUNCTION("""COMPUTED_VALUE"""),1.3116695E8)</f>
        <v>131166950</v>
      </c>
      <c r="W66" s="32">
        <f>IFERROR(__xludf.DUMMYFUNCTION("""COMPUTED_VALUE"""),45646.66666666667)</f>
        <v>45646.66667</v>
      </c>
      <c r="X66" s="25">
        <f>IFERROR(__xludf.DUMMYFUNCTION("""COMPUTED_VALUE"""),134.18)</f>
        <v>134.18</v>
      </c>
      <c r="Y66" s="25">
        <f>IFERROR(__xludf.DUMMYFUNCTION("""COMPUTED_VALUE"""),136.7)</f>
        <v>136.7</v>
      </c>
      <c r="Z66" s="25">
        <f>IFERROR(__xludf.DUMMYFUNCTION("""COMPUTED_VALUE"""),126.86)</f>
        <v>126.86</v>
      </c>
      <c r="AA66" s="25">
        <f>IFERROR(__xludf.DUMMYFUNCTION("""COMPUTED_VALUE"""),134.7)</f>
        <v>134.7</v>
      </c>
      <c r="AB66" s="25">
        <f>IFERROR(__xludf.DUMMYFUNCTION("""COMPUTED_VALUE"""),1.291053689E9)</f>
        <v>1291053689</v>
      </c>
    </row>
    <row r="67">
      <c r="B67" s="32">
        <f>IFERROR(__xludf.DUMMYFUNCTION("""COMPUTED_VALUE"""),45653.66666666667)</f>
        <v>45653.66667</v>
      </c>
      <c r="C67" s="25">
        <f>IFERROR(__xludf.DUMMYFUNCTION("""COMPUTED_VALUE"""),26.36)</f>
        <v>26.36</v>
      </c>
      <c r="D67" s="25">
        <f>IFERROR(__xludf.DUMMYFUNCTION("""COMPUTED_VALUE"""),26.85)</f>
        <v>26.85</v>
      </c>
      <c r="E67" s="25">
        <f>IFERROR(__xludf.DUMMYFUNCTION("""COMPUTED_VALUE"""),26.19)</f>
        <v>26.19</v>
      </c>
      <c r="F67" s="25">
        <f>IFERROR(__xludf.DUMMYFUNCTION("""COMPUTED_VALUE"""),26.62)</f>
        <v>26.62</v>
      </c>
      <c r="G67" s="25">
        <f>IFERROR(__xludf.DUMMYFUNCTION("""COMPUTED_VALUE"""),1.21798796E8)</f>
        <v>121798796</v>
      </c>
      <c r="I67" s="32">
        <f>IFERROR(__xludf.DUMMYFUNCTION("""COMPUTED_VALUE"""),45653.66666666667)</f>
        <v>45653.66667</v>
      </c>
      <c r="J67" s="25">
        <f>IFERROR(__xludf.DUMMYFUNCTION("""COMPUTED_VALUE"""),19.58)</f>
        <v>19.58</v>
      </c>
      <c r="K67" s="25">
        <f>IFERROR(__xludf.DUMMYFUNCTION("""COMPUTED_VALUE"""),20.67)</f>
        <v>20.67</v>
      </c>
      <c r="L67" s="25">
        <f>IFERROR(__xludf.DUMMYFUNCTION("""COMPUTED_VALUE"""),19.52)</f>
        <v>19.52</v>
      </c>
      <c r="M67" s="25">
        <f>IFERROR(__xludf.DUMMYFUNCTION("""COMPUTED_VALUE"""),20.3)</f>
        <v>20.3</v>
      </c>
      <c r="N67" s="25">
        <f>IFERROR(__xludf.DUMMYFUNCTION("""COMPUTED_VALUE"""),1.76083611E8)</f>
        <v>176083611</v>
      </c>
      <c r="P67" s="32">
        <f>IFERROR(__xludf.DUMMYFUNCTION("""COMPUTED_VALUE"""),45653.66666666667)</f>
        <v>45653.66667</v>
      </c>
      <c r="Q67" s="25">
        <f>IFERROR(__xludf.DUMMYFUNCTION("""COMPUTED_VALUE"""),62.5)</f>
        <v>62.5</v>
      </c>
      <c r="R67" s="25">
        <f>IFERROR(__xludf.DUMMYFUNCTION("""COMPUTED_VALUE"""),62.95)</f>
        <v>62.95</v>
      </c>
      <c r="S67" s="25">
        <f>IFERROR(__xludf.DUMMYFUNCTION("""COMPUTED_VALUE"""),61.53)</f>
        <v>61.53</v>
      </c>
      <c r="T67" s="25">
        <f>IFERROR(__xludf.DUMMYFUNCTION("""COMPUTED_VALUE"""),62.45)</f>
        <v>62.45</v>
      </c>
      <c r="U67" s="25">
        <f>IFERROR(__xludf.DUMMYFUNCTION("""COMPUTED_VALUE"""),3.4518303E7)</f>
        <v>34518303</v>
      </c>
      <c r="W67" s="32">
        <f>IFERROR(__xludf.DUMMYFUNCTION("""COMPUTED_VALUE"""),45653.66666666667)</f>
        <v>45653.66667</v>
      </c>
      <c r="X67" s="25">
        <f>IFERROR(__xludf.DUMMYFUNCTION("""COMPUTED_VALUE"""),136.28)</f>
        <v>136.28</v>
      </c>
      <c r="Y67" s="25">
        <f>IFERROR(__xludf.DUMMYFUNCTION("""COMPUTED_VALUE"""),141.9)</f>
        <v>141.9</v>
      </c>
      <c r="Z67" s="25">
        <f>IFERROR(__xludf.DUMMYFUNCTION("""COMPUTED_VALUE"""),134.71)</f>
        <v>134.71</v>
      </c>
      <c r="AA67" s="25">
        <f>IFERROR(__xludf.DUMMYFUNCTION("""COMPUTED_VALUE"""),137.01)</f>
        <v>137.01</v>
      </c>
      <c r="AB67" s="25">
        <f>IFERROR(__xludf.DUMMYFUNCTION("""COMPUTED_VALUE"""),5.68312188E8)</f>
        <v>568312188</v>
      </c>
    </row>
    <row r="68">
      <c r="B68" s="32">
        <f>IFERROR(__xludf.DUMMYFUNCTION("""COMPUTED_VALUE"""),45660.66666666667)</f>
        <v>45660.66667</v>
      </c>
      <c r="C68" s="25">
        <f>IFERROR(__xludf.DUMMYFUNCTION("""COMPUTED_VALUE"""),26.48)</f>
        <v>26.48</v>
      </c>
      <c r="D68" s="25">
        <f>IFERROR(__xludf.DUMMYFUNCTION("""COMPUTED_VALUE"""),26.86)</f>
        <v>26.86</v>
      </c>
      <c r="E68" s="25">
        <f>IFERROR(__xludf.DUMMYFUNCTION("""COMPUTED_VALUE"""),26.24)</f>
        <v>26.24</v>
      </c>
      <c r="F68" s="25">
        <f>IFERROR(__xludf.DUMMYFUNCTION("""COMPUTED_VALUE"""),26.59)</f>
        <v>26.59</v>
      </c>
      <c r="G68" s="25">
        <f>IFERROR(__xludf.DUMMYFUNCTION("""COMPUTED_VALUE"""),1.26260802E8)</f>
        <v>126260802</v>
      </c>
      <c r="I68" s="32">
        <f>IFERROR(__xludf.DUMMYFUNCTION("""COMPUTED_VALUE"""),45660.66666666667)</f>
        <v>45660.66667</v>
      </c>
      <c r="J68" s="25">
        <f>IFERROR(__xludf.DUMMYFUNCTION("""COMPUTED_VALUE"""),20.01)</f>
        <v>20.01</v>
      </c>
      <c r="K68" s="25">
        <f>IFERROR(__xludf.DUMMYFUNCTION("""COMPUTED_VALUE"""),20.67)</f>
        <v>20.67</v>
      </c>
      <c r="L68" s="25">
        <f>IFERROR(__xludf.DUMMYFUNCTION("""COMPUTED_VALUE"""),19.73)</f>
        <v>19.73</v>
      </c>
      <c r="M68" s="25">
        <f>IFERROR(__xludf.DUMMYFUNCTION("""COMPUTED_VALUE"""),20.56)</f>
        <v>20.56</v>
      </c>
      <c r="N68" s="25">
        <f>IFERROR(__xludf.DUMMYFUNCTION("""COMPUTED_VALUE"""),2.04877253E8)</f>
        <v>204877253</v>
      </c>
      <c r="P68" s="32">
        <f>IFERROR(__xludf.DUMMYFUNCTION("""COMPUTED_VALUE"""),45660.66666666667)</f>
        <v>45660.66667</v>
      </c>
      <c r="Q68" s="25">
        <f>IFERROR(__xludf.DUMMYFUNCTION("""COMPUTED_VALUE"""),62.34)</f>
        <v>62.34</v>
      </c>
      <c r="R68" s="25">
        <f>IFERROR(__xludf.DUMMYFUNCTION("""COMPUTED_VALUE"""),62.75)</f>
        <v>62.75</v>
      </c>
      <c r="S68" s="25">
        <f>IFERROR(__xludf.DUMMYFUNCTION("""COMPUTED_VALUE"""),61.62)</f>
        <v>61.62</v>
      </c>
      <c r="T68" s="25">
        <f>IFERROR(__xludf.DUMMYFUNCTION("""COMPUTED_VALUE"""),61.75)</f>
        <v>61.75</v>
      </c>
      <c r="U68" s="25">
        <f>IFERROR(__xludf.DUMMYFUNCTION("""COMPUTED_VALUE"""),4.1623055E7)</f>
        <v>41623055</v>
      </c>
      <c r="W68" s="32">
        <f>IFERROR(__xludf.DUMMYFUNCTION("""COMPUTED_VALUE"""),45660.66666666667)</f>
        <v>45660.66667</v>
      </c>
      <c r="X68" s="25">
        <f>IFERROR(__xludf.DUMMYFUNCTION("""COMPUTED_VALUE"""),134.83)</f>
        <v>134.83</v>
      </c>
      <c r="Y68" s="25">
        <f>IFERROR(__xludf.DUMMYFUNCTION("""COMPUTED_VALUE"""),144.9)</f>
        <v>144.9</v>
      </c>
      <c r="Z68" s="25">
        <f>IFERROR(__xludf.DUMMYFUNCTION("""COMPUTED_VALUE"""),133.83)</f>
        <v>133.83</v>
      </c>
      <c r="AA68" s="25">
        <f>IFERROR(__xludf.DUMMYFUNCTION("""COMPUTED_VALUE"""),144.47)</f>
        <v>144.47</v>
      </c>
      <c r="AB68" s="25">
        <f>IFERROR(__xludf.DUMMYFUNCTION("""COMPUTED_VALUE"""),7.50963555E8)</f>
        <v>750963555</v>
      </c>
    </row>
    <row r="69">
      <c r="B69" s="32">
        <f>IFERROR(__xludf.DUMMYFUNCTION("""COMPUTED_VALUE"""),45667.66666666667)</f>
        <v>45667.66667</v>
      </c>
      <c r="C69" s="25">
        <f>IFERROR(__xludf.DUMMYFUNCTION("""COMPUTED_VALUE"""),26.71)</f>
        <v>26.71</v>
      </c>
      <c r="D69" s="25">
        <f>IFERROR(__xludf.DUMMYFUNCTION("""COMPUTED_VALUE"""),27.57)</f>
        <v>27.57</v>
      </c>
      <c r="E69" s="25">
        <f>IFERROR(__xludf.DUMMYFUNCTION("""COMPUTED_VALUE"""),26.23)</f>
        <v>26.23</v>
      </c>
      <c r="F69" s="25">
        <f>IFERROR(__xludf.DUMMYFUNCTION("""COMPUTED_VALUE"""),26.72)</f>
        <v>26.72</v>
      </c>
      <c r="G69" s="25">
        <f>IFERROR(__xludf.DUMMYFUNCTION("""COMPUTED_VALUE"""),1.47248514E8)</f>
        <v>147248514</v>
      </c>
      <c r="I69" s="32">
        <f>IFERROR(__xludf.DUMMYFUNCTION("""COMPUTED_VALUE"""),45667.66666666667)</f>
        <v>45667.66667</v>
      </c>
      <c r="J69" s="25">
        <f>IFERROR(__xludf.DUMMYFUNCTION("""COMPUTED_VALUE"""),20.83)</f>
        <v>20.83</v>
      </c>
      <c r="K69" s="25">
        <f>IFERROR(__xludf.DUMMYFUNCTION("""COMPUTED_VALUE"""),20.98)</f>
        <v>20.98</v>
      </c>
      <c r="L69" s="25">
        <f>IFERROR(__xludf.DUMMYFUNCTION("""COMPUTED_VALUE"""),18.91)</f>
        <v>18.91</v>
      </c>
      <c r="M69" s="25">
        <f>IFERROR(__xludf.DUMMYFUNCTION("""COMPUTED_VALUE"""),19.15)</f>
        <v>19.15</v>
      </c>
      <c r="N69" s="25">
        <f>IFERROR(__xludf.DUMMYFUNCTION("""COMPUTED_VALUE"""),2.64138702E8)</f>
        <v>264138702</v>
      </c>
      <c r="P69" s="32">
        <f>IFERROR(__xludf.DUMMYFUNCTION("""COMPUTED_VALUE"""),45667.66666666667)</f>
        <v>45667.66667</v>
      </c>
      <c r="Q69" s="25">
        <f>IFERROR(__xludf.DUMMYFUNCTION("""COMPUTED_VALUE"""),61.5)</f>
        <v>61.5</v>
      </c>
      <c r="R69" s="25">
        <f>IFERROR(__xludf.DUMMYFUNCTION("""COMPUTED_VALUE"""),61.77)</f>
        <v>61.77</v>
      </c>
      <c r="S69" s="25">
        <f>IFERROR(__xludf.DUMMYFUNCTION("""COMPUTED_VALUE"""),60.62)</f>
        <v>60.62</v>
      </c>
      <c r="T69" s="25">
        <f>IFERROR(__xludf.DUMMYFUNCTION("""COMPUTED_VALUE"""),61.07)</f>
        <v>61.07</v>
      </c>
      <c r="U69" s="25">
        <f>IFERROR(__xludf.DUMMYFUNCTION("""COMPUTED_VALUE"""),7.2561214E7)</f>
        <v>72561214</v>
      </c>
      <c r="W69" s="32">
        <f>IFERROR(__xludf.DUMMYFUNCTION("""COMPUTED_VALUE"""),45667.66666666667)</f>
        <v>45667.66667</v>
      </c>
      <c r="X69" s="25">
        <f>IFERROR(__xludf.DUMMYFUNCTION("""COMPUTED_VALUE"""),148.59)</f>
        <v>148.59</v>
      </c>
      <c r="Y69" s="25">
        <f>IFERROR(__xludf.DUMMYFUNCTION("""COMPUTED_VALUE"""),153.13)</f>
        <v>153.13</v>
      </c>
      <c r="Z69" s="25">
        <f>IFERROR(__xludf.DUMMYFUNCTION("""COMPUTED_VALUE"""),134.22)</f>
        <v>134.22</v>
      </c>
      <c r="AA69" s="25">
        <f>IFERROR(__xludf.DUMMYFUNCTION("""COMPUTED_VALUE"""),135.91)</f>
        <v>135.91</v>
      </c>
      <c r="AB69" s="25">
        <f>IFERROR(__xludf.DUMMYFUNCTION("""COMPUTED_VALUE"""),1.052111995E9)</f>
        <v>1052111995</v>
      </c>
    </row>
    <row r="70">
      <c r="B70" s="32">
        <f>IFERROR(__xludf.DUMMYFUNCTION("""COMPUTED_VALUE"""),45674.66666666667)</f>
        <v>45674.66667</v>
      </c>
      <c r="C70" s="25">
        <f>IFERROR(__xludf.DUMMYFUNCTION("""COMPUTED_VALUE"""),26.65)</f>
        <v>26.65</v>
      </c>
      <c r="D70" s="25">
        <f>IFERROR(__xludf.DUMMYFUNCTION("""COMPUTED_VALUE"""),26.87)</f>
        <v>26.87</v>
      </c>
      <c r="E70" s="25">
        <f>IFERROR(__xludf.DUMMYFUNCTION("""COMPUTED_VALUE"""),25.96)</f>
        <v>25.96</v>
      </c>
      <c r="F70" s="25">
        <f>IFERROR(__xludf.DUMMYFUNCTION("""COMPUTED_VALUE"""),26.3)</f>
        <v>26.3</v>
      </c>
      <c r="G70" s="25">
        <f>IFERROR(__xludf.DUMMYFUNCTION("""COMPUTED_VALUE"""),1.55527674E8)</f>
        <v>155527674</v>
      </c>
      <c r="I70" s="32">
        <f>IFERROR(__xludf.DUMMYFUNCTION("""COMPUTED_VALUE"""),45674.66666666667)</f>
        <v>45674.66667</v>
      </c>
      <c r="J70" s="25">
        <f>IFERROR(__xludf.DUMMYFUNCTION("""COMPUTED_VALUE"""),18.92)</f>
        <v>18.92</v>
      </c>
      <c r="K70" s="25">
        <f>IFERROR(__xludf.DUMMYFUNCTION("""COMPUTED_VALUE"""),21.62)</f>
        <v>21.62</v>
      </c>
      <c r="L70" s="25">
        <f>IFERROR(__xludf.DUMMYFUNCTION("""COMPUTED_VALUE"""),18.73)</f>
        <v>18.73</v>
      </c>
      <c r="M70" s="25">
        <f>IFERROR(__xludf.DUMMYFUNCTION("""COMPUTED_VALUE"""),21.49)</f>
        <v>21.49</v>
      </c>
      <c r="N70" s="25">
        <f>IFERROR(__xludf.DUMMYFUNCTION("""COMPUTED_VALUE"""),3.65504458E8)</f>
        <v>365504458</v>
      </c>
      <c r="P70" s="32">
        <f>IFERROR(__xludf.DUMMYFUNCTION("""COMPUTED_VALUE"""),45674.66666666667)</f>
        <v>45674.66667</v>
      </c>
      <c r="Q70" s="25">
        <f>IFERROR(__xludf.DUMMYFUNCTION("""COMPUTED_VALUE"""),61.13)</f>
        <v>61.13</v>
      </c>
      <c r="R70" s="25">
        <f>IFERROR(__xludf.DUMMYFUNCTION("""COMPUTED_VALUE"""),62.77)</f>
        <v>62.77</v>
      </c>
      <c r="S70" s="25">
        <f>IFERROR(__xludf.DUMMYFUNCTION("""COMPUTED_VALUE"""),60.71)</f>
        <v>60.71</v>
      </c>
      <c r="T70" s="25">
        <f>IFERROR(__xludf.DUMMYFUNCTION("""COMPUTED_VALUE"""),62.71)</f>
        <v>62.71</v>
      </c>
      <c r="U70" s="25">
        <f>IFERROR(__xludf.DUMMYFUNCTION("""COMPUTED_VALUE"""),8.1396059E7)</f>
        <v>81396059</v>
      </c>
      <c r="W70" s="32">
        <f>IFERROR(__xludf.DUMMYFUNCTION("""COMPUTED_VALUE"""),45674.66666666667)</f>
        <v>45674.66667</v>
      </c>
      <c r="X70" s="25">
        <f>IFERROR(__xludf.DUMMYFUNCTION("""COMPUTED_VALUE"""),129.99)</f>
        <v>129.99</v>
      </c>
      <c r="Y70" s="25">
        <f>IFERROR(__xludf.DUMMYFUNCTION("""COMPUTED_VALUE"""),138.75)</f>
        <v>138.75</v>
      </c>
      <c r="Z70" s="25">
        <f>IFERROR(__xludf.DUMMYFUNCTION("""COMPUTED_VALUE"""),129.51)</f>
        <v>129.51</v>
      </c>
      <c r="AA70" s="25">
        <f>IFERROR(__xludf.DUMMYFUNCTION("""COMPUTED_VALUE"""),137.71)</f>
        <v>137.71</v>
      </c>
      <c r="AB70" s="25">
        <f>IFERROR(__xludf.DUMMYFUNCTION("""COMPUTED_VALUE"""),9.9604108E8)</f>
        <v>996041080</v>
      </c>
    </row>
    <row r="71">
      <c r="B71" s="32">
        <f>IFERROR(__xludf.DUMMYFUNCTION("""COMPUTED_VALUE"""),45681.66666666667)</f>
        <v>45681.66667</v>
      </c>
      <c r="C71" s="25">
        <f>IFERROR(__xludf.DUMMYFUNCTION("""COMPUTED_VALUE"""),26.45)</f>
        <v>26.45</v>
      </c>
      <c r="D71" s="25">
        <f>IFERROR(__xludf.DUMMYFUNCTION("""COMPUTED_VALUE"""),26.64)</f>
        <v>26.64</v>
      </c>
      <c r="E71" s="25">
        <f>IFERROR(__xludf.DUMMYFUNCTION("""COMPUTED_VALUE"""),25.85)</f>
        <v>25.85</v>
      </c>
      <c r="F71" s="25">
        <f>IFERROR(__xludf.DUMMYFUNCTION("""COMPUTED_VALUE"""),26.09)</f>
        <v>26.09</v>
      </c>
      <c r="G71" s="25">
        <f>IFERROR(__xludf.DUMMYFUNCTION("""COMPUTED_VALUE"""),1.53923232E8)</f>
        <v>153923232</v>
      </c>
      <c r="I71" s="32">
        <f>IFERROR(__xludf.DUMMYFUNCTION("""COMPUTED_VALUE"""),45681.66666666667)</f>
        <v>45681.66667</v>
      </c>
      <c r="J71" s="25">
        <f>IFERROR(__xludf.DUMMYFUNCTION("""COMPUTED_VALUE"""),22.03)</f>
        <v>22.03</v>
      </c>
      <c r="K71" s="25">
        <f>IFERROR(__xludf.DUMMYFUNCTION("""COMPUTED_VALUE"""),22.41)</f>
        <v>22.41</v>
      </c>
      <c r="L71" s="25">
        <f>IFERROR(__xludf.DUMMYFUNCTION("""COMPUTED_VALUE"""),20.75)</f>
        <v>20.75</v>
      </c>
      <c r="M71" s="25">
        <f>IFERROR(__xludf.DUMMYFUNCTION("""COMPUTED_VALUE"""),20.83)</f>
        <v>20.83</v>
      </c>
      <c r="N71" s="25">
        <f>IFERROR(__xludf.DUMMYFUNCTION("""COMPUTED_VALUE"""),2.79313527E8)</f>
        <v>279313527</v>
      </c>
      <c r="P71" s="32">
        <f>IFERROR(__xludf.DUMMYFUNCTION("""COMPUTED_VALUE"""),45681.66666666667)</f>
        <v>45681.66667</v>
      </c>
      <c r="Q71" s="25">
        <f>IFERROR(__xludf.DUMMYFUNCTION("""COMPUTED_VALUE"""),62.9)</f>
        <v>62.9</v>
      </c>
      <c r="R71" s="25">
        <f>IFERROR(__xludf.DUMMYFUNCTION("""COMPUTED_VALUE"""),63.23)</f>
        <v>63.23</v>
      </c>
      <c r="S71" s="25">
        <f>IFERROR(__xludf.DUMMYFUNCTION("""COMPUTED_VALUE"""),61.37)</f>
        <v>61.37</v>
      </c>
      <c r="T71" s="25">
        <f>IFERROR(__xludf.DUMMYFUNCTION("""COMPUTED_VALUE"""),61.92)</f>
        <v>61.92</v>
      </c>
      <c r="U71" s="25">
        <f>IFERROR(__xludf.DUMMYFUNCTION("""COMPUTED_VALUE"""),7.3781981E7)</f>
        <v>73781981</v>
      </c>
      <c r="W71" s="32">
        <f>IFERROR(__xludf.DUMMYFUNCTION("""COMPUTED_VALUE"""),45681.66666666667)</f>
        <v>45681.66667</v>
      </c>
      <c r="X71" s="25">
        <f>IFERROR(__xludf.DUMMYFUNCTION("""COMPUTED_VALUE"""),139.16)</f>
        <v>139.16</v>
      </c>
      <c r="Y71" s="25">
        <f>IFERROR(__xludf.DUMMYFUNCTION("""COMPUTED_VALUE"""),148.97)</f>
        <v>148.97</v>
      </c>
      <c r="Z71" s="25">
        <f>IFERROR(__xludf.DUMMYFUNCTION("""COMPUTED_VALUE"""),137.09)</f>
        <v>137.09</v>
      </c>
      <c r="AA71" s="25">
        <f>IFERROR(__xludf.DUMMYFUNCTION("""COMPUTED_VALUE"""),142.62)</f>
        <v>142.62</v>
      </c>
      <c r="AB71" s="25">
        <f>IFERROR(__xludf.DUMMYFUNCTION("""COMPUTED_VALUE"""),8.25973564E8)</f>
        <v>825973564</v>
      </c>
    </row>
    <row r="72">
      <c r="B72" s="32">
        <f>IFERROR(__xludf.DUMMYFUNCTION("""COMPUTED_VALUE"""),45688.66666666667)</f>
        <v>45688.66667</v>
      </c>
      <c r="C72" s="25">
        <f>IFERROR(__xludf.DUMMYFUNCTION("""COMPUTED_VALUE"""),26.24)</f>
        <v>26.24</v>
      </c>
      <c r="D72" s="25">
        <f>IFERROR(__xludf.DUMMYFUNCTION("""COMPUTED_VALUE"""),27.07)</f>
        <v>27.07</v>
      </c>
      <c r="E72" s="25">
        <f>IFERROR(__xludf.DUMMYFUNCTION("""COMPUTED_VALUE"""),26.18)</f>
        <v>26.18</v>
      </c>
      <c r="F72" s="25">
        <f>IFERROR(__xludf.DUMMYFUNCTION("""COMPUTED_VALUE"""),26.52)</f>
        <v>26.52</v>
      </c>
      <c r="G72" s="25">
        <f>IFERROR(__xludf.DUMMYFUNCTION("""COMPUTED_VALUE"""),1.95284019E8)</f>
        <v>195284019</v>
      </c>
      <c r="I72" s="32">
        <f>IFERROR(__xludf.DUMMYFUNCTION("""COMPUTED_VALUE"""),45688.66666666667)</f>
        <v>45688.66667</v>
      </c>
      <c r="J72" s="25">
        <f>IFERROR(__xludf.DUMMYFUNCTION("""COMPUTED_VALUE"""),20.81)</f>
        <v>20.81</v>
      </c>
      <c r="K72" s="25">
        <f>IFERROR(__xludf.DUMMYFUNCTION("""COMPUTED_VALUE"""),21.06)</f>
        <v>21.06</v>
      </c>
      <c r="L72" s="25">
        <f>IFERROR(__xludf.DUMMYFUNCTION("""COMPUTED_VALUE"""),19.38)</f>
        <v>19.38</v>
      </c>
      <c r="M72" s="25">
        <f>IFERROR(__xludf.DUMMYFUNCTION("""COMPUTED_VALUE"""),19.43)</f>
        <v>19.43</v>
      </c>
      <c r="N72" s="25">
        <f>IFERROR(__xludf.DUMMYFUNCTION("""COMPUTED_VALUE"""),4.69142185E8)</f>
        <v>469142185</v>
      </c>
      <c r="P72" s="32">
        <f>IFERROR(__xludf.DUMMYFUNCTION("""COMPUTED_VALUE"""),45688.66666666667)</f>
        <v>45688.66667</v>
      </c>
      <c r="Q72" s="25">
        <f>IFERROR(__xludf.DUMMYFUNCTION("""COMPUTED_VALUE"""),62.87)</f>
        <v>62.87</v>
      </c>
      <c r="R72" s="25">
        <f>IFERROR(__xludf.DUMMYFUNCTION("""COMPUTED_VALUE"""),64.29)</f>
        <v>64.29</v>
      </c>
      <c r="S72" s="25">
        <f>IFERROR(__xludf.DUMMYFUNCTION("""COMPUTED_VALUE"""),62.28)</f>
        <v>62.28</v>
      </c>
      <c r="T72" s="25">
        <f>IFERROR(__xludf.DUMMYFUNCTION("""COMPUTED_VALUE"""),63.48)</f>
        <v>63.48</v>
      </c>
      <c r="U72" s="25">
        <f>IFERROR(__xludf.DUMMYFUNCTION("""COMPUTED_VALUE"""),7.2327618E7)</f>
        <v>72327618</v>
      </c>
      <c r="W72" s="32">
        <f>IFERROR(__xludf.DUMMYFUNCTION("""COMPUTED_VALUE"""),45688.66666666667)</f>
        <v>45688.66667</v>
      </c>
      <c r="X72" s="25">
        <f>IFERROR(__xludf.DUMMYFUNCTION("""COMPUTED_VALUE"""),124.8)</f>
        <v>124.8</v>
      </c>
      <c r="Y72" s="25">
        <f>IFERROR(__xludf.DUMMYFUNCTION("""COMPUTED_VALUE"""),129.0)</f>
        <v>129</v>
      </c>
      <c r="Z72" s="25">
        <f>IFERROR(__xludf.DUMMYFUNCTION("""COMPUTED_VALUE"""),116.25)</f>
        <v>116.25</v>
      </c>
      <c r="AA72" s="25">
        <f>IFERROR(__xludf.DUMMYFUNCTION("""COMPUTED_VALUE"""),120.07)</f>
        <v>120.07</v>
      </c>
      <c r="AB72" s="25">
        <f>IFERROR(__xludf.DUMMYFUNCTION("""COMPUTED_VALUE"""),2.648916253E9)</f>
        <v>2648916253</v>
      </c>
    </row>
    <row r="73">
      <c r="B73" s="32">
        <f>IFERROR(__xludf.DUMMYFUNCTION("""COMPUTED_VALUE"""),45695.66666666667)</f>
        <v>45695.66667</v>
      </c>
      <c r="C73" s="25">
        <f>IFERROR(__xludf.DUMMYFUNCTION("""COMPUTED_VALUE"""),26.3)</f>
        <v>26.3</v>
      </c>
      <c r="D73" s="25">
        <f>IFERROR(__xludf.DUMMYFUNCTION("""COMPUTED_VALUE"""),26.92)</f>
        <v>26.92</v>
      </c>
      <c r="E73" s="25">
        <f>IFERROR(__xludf.DUMMYFUNCTION("""COMPUTED_VALUE"""),25.53)</f>
        <v>25.53</v>
      </c>
      <c r="F73" s="25">
        <f>IFERROR(__xludf.DUMMYFUNCTION("""COMPUTED_VALUE"""),25.74)</f>
        <v>25.74</v>
      </c>
      <c r="G73" s="25">
        <f>IFERROR(__xludf.DUMMYFUNCTION("""COMPUTED_VALUE"""),2.50496175E8)</f>
        <v>250496175</v>
      </c>
      <c r="I73" s="32">
        <f>IFERROR(__xludf.DUMMYFUNCTION("""COMPUTED_VALUE"""),45695.66666666667)</f>
        <v>45695.66667</v>
      </c>
      <c r="J73" s="25">
        <f>IFERROR(__xludf.DUMMYFUNCTION("""COMPUTED_VALUE"""),18.97)</f>
        <v>18.97</v>
      </c>
      <c r="K73" s="25">
        <f>IFERROR(__xludf.DUMMYFUNCTION("""COMPUTED_VALUE"""),19.77)</f>
        <v>19.77</v>
      </c>
      <c r="L73" s="25">
        <f>IFERROR(__xludf.DUMMYFUNCTION("""COMPUTED_VALUE"""),18.78)</f>
        <v>18.78</v>
      </c>
      <c r="M73" s="25">
        <f>IFERROR(__xludf.DUMMYFUNCTION("""COMPUTED_VALUE"""),19.1)</f>
        <v>19.1</v>
      </c>
      <c r="N73" s="25">
        <f>IFERROR(__xludf.DUMMYFUNCTION("""COMPUTED_VALUE"""),3.01703284E8)</f>
        <v>301703284</v>
      </c>
      <c r="P73" s="32">
        <f>IFERROR(__xludf.DUMMYFUNCTION("""COMPUTED_VALUE"""),45695.66666666667)</f>
        <v>45695.66667</v>
      </c>
      <c r="Q73" s="25">
        <f>IFERROR(__xludf.DUMMYFUNCTION("""COMPUTED_VALUE"""),63.18)</f>
        <v>63.18</v>
      </c>
      <c r="R73" s="25">
        <f>IFERROR(__xludf.DUMMYFUNCTION("""COMPUTED_VALUE"""),63.92)</f>
        <v>63.92</v>
      </c>
      <c r="S73" s="25">
        <f>IFERROR(__xludf.DUMMYFUNCTION("""COMPUTED_VALUE"""),62.35)</f>
        <v>62.35</v>
      </c>
      <c r="T73" s="25">
        <f>IFERROR(__xludf.DUMMYFUNCTION("""COMPUTED_VALUE"""),63.84)</f>
        <v>63.84</v>
      </c>
      <c r="U73" s="25">
        <f>IFERROR(__xludf.DUMMYFUNCTION("""COMPUTED_VALUE"""),6.5040717E7)</f>
        <v>65040717</v>
      </c>
      <c r="W73" s="32">
        <f>IFERROR(__xludf.DUMMYFUNCTION("""COMPUTED_VALUE"""),45695.66666666667)</f>
        <v>45695.66667</v>
      </c>
      <c r="X73" s="25">
        <f>IFERROR(__xludf.DUMMYFUNCTION("""COMPUTED_VALUE"""),114.75)</f>
        <v>114.75</v>
      </c>
      <c r="Y73" s="25">
        <f>IFERROR(__xludf.DUMMYFUNCTION("""COMPUTED_VALUE"""),130.37)</f>
        <v>130.37</v>
      </c>
      <c r="Z73" s="25">
        <f>IFERROR(__xludf.DUMMYFUNCTION("""COMPUTED_VALUE"""),113.01)</f>
        <v>113.01</v>
      </c>
      <c r="AA73" s="25">
        <f>IFERROR(__xludf.DUMMYFUNCTION("""COMPUTED_VALUE"""),129.84)</f>
        <v>129.84</v>
      </c>
      <c r="AB73" s="25">
        <f>IFERROR(__xludf.DUMMYFUNCTION("""COMPUTED_VALUE"""),1.370566218E9)</f>
        <v>1370566218</v>
      </c>
    </row>
    <row r="74">
      <c r="B74" s="32">
        <f>IFERROR(__xludf.DUMMYFUNCTION("""COMPUTED_VALUE"""),45702.66666666667)</f>
        <v>45702.66667</v>
      </c>
      <c r="C74" s="25">
        <f>IFERROR(__xludf.DUMMYFUNCTION("""COMPUTED_VALUE"""),25.78)</f>
        <v>25.78</v>
      </c>
      <c r="D74" s="25">
        <f>IFERROR(__xludf.DUMMYFUNCTION("""COMPUTED_VALUE"""),26.12)</f>
        <v>26.12</v>
      </c>
      <c r="E74" s="25">
        <f>IFERROR(__xludf.DUMMYFUNCTION("""COMPUTED_VALUE"""),25.17)</f>
        <v>25.17</v>
      </c>
      <c r="F74" s="25">
        <f>IFERROR(__xludf.DUMMYFUNCTION("""COMPUTED_VALUE"""),25.53)</f>
        <v>25.53</v>
      </c>
      <c r="G74" s="25">
        <f>IFERROR(__xludf.DUMMYFUNCTION("""COMPUTED_VALUE"""),1.71724749E8)</f>
        <v>171724749</v>
      </c>
      <c r="I74" s="32">
        <f>IFERROR(__xludf.DUMMYFUNCTION("""COMPUTED_VALUE"""),45702.66666666667)</f>
        <v>45702.66667</v>
      </c>
      <c r="J74" s="25">
        <f>IFERROR(__xludf.DUMMYFUNCTION("""COMPUTED_VALUE"""),19.25)</f>
        <v>19.25</v>
      </c>
      <c r="K74" s="25">
        <f>IFERROR(__xludf.DUMMYFUNCTION("""COMPUTED_VALUE"""),25.19)</f>
        <v>25.19</v>
      </c>
      <c r="L74" s="25">
        <f>IFERROR(__xludf.DUMMYFUNCTION("""COMPUTED_VALUE"""),19.24)</f>
        <v>19.24</v>
      </c>
      <c r="M74" s="25">
        <f>IFERROR(__xludf.DUMMYFUNCTION("""COMPUTED_VALUE"""),23.6)</f>
        <v>23.6</v>
      </c>
      <c r="N74" s="25">
        <f>IFERROR(__xludf.DUMMYFUNCTION("""COMPUTED_VALUE"""),8.65514577E8)</f>
        <v>865514577</v>
      </c>
      <c r="P74" s="32">
        <f>IFERROR(__xludf.DUMMYFUNCTION("""COMPUTED_VALUE"""),45702.66666666667)</f>
        <v>45702.66667</v>
      </c>
      <c r="Q74" s="25">
        <f>IFERROR(__xludf.DUMMYFUNCTION("""COMPUTED_VALUE"""),64.1)</f>
        <v>64.1</v>
      </c>
      <c r="R74" s="25">
        <f>IFERROR(__xludf.DUMMYFUNCTION("""COMPUTED_VALUE"""),70.03)</f>
        <v>70.03</v>
      </c>
      <c r="S74" s="25">
        <f>IFERROR(__xludf.DUMMYFUNCTION("""COMPUTED_VALUE"""),63.66)</f>
        <v>63.66</v>
      </c>
      <c r="T74" s="25">
        <f>IFERROR(__xludf.DUMMYFUNCTION("""COMPUTED_VALUE"""),68.87)</f>
        <v>68.87</v>
      </c>
      <c r="U74" s="25">
        <f>IFERROR(__xludf.DUMMYFUNCTION("""COMPUTED_VALUE"""),1.1794945E8)</f>
        <v>117949450</v>
      </c>
      <c r="W74" s="32">
        <f>IFERROR(__xludf.DUMMYFUNCTION("""COMPUTED_VALUE"""),45702.66666666667)</f>
        <v>45702.66667</v>
      </c>
      <c r="X74" s="25">
        <f>IFERROR(__xludf.DUMMYFUNCTION("""COMPUTED_VALUE"""),130.09)</f>
        <v>130.09</v>
      </c>
      <c r="Y74" s="25">
        <f>IFERROR(__xludf.DUMMYFUNCTION("""COMPUTED_VALUE"""),139.25)</f>
        <v>139.25</v>
      </c>
      <c r="Z74" s="25">
        <f>IFERROR(__xludf.DUMMYFUNCTION("""COMPUTED_VALUE"""),129.08)</f>
        <v>129.08</v>
      </c>
      <c r="AA74" s="25">
        <f>IFERROR(__xludf.DUMMYFUNCTION("""COMPUTED_VALUE"""),138.85)</f>
        <v>138.85</v>
      </c>
      <c r="AB74" s="25">
        <f>IFERROR(__xludf.DUMMYFUNCTION("""COMPUTED_VALUE"""),9.49079549E8)</f>
        <v>949079549</v>
      </c>
    </row>
    <row r="75">
      <c r="B75" s="32">
        <f>IFERROR(__xludf.DUMMYFUNCTION("""COMPUTED_VALUE"""),45709.66666666667)</f>
        <v>45709.66667</v>
      </c>
      <c r="C75" s="25">
        <f>IFERROR(__xludf.DUMMYFUNCTION("""COMPUTED_VALUE"""),25.61)</f>
        <v>25.61</v>
      </c>
      <c r="D75" s="25">
        <f>IFERROR(__xludf.DUMMYFUNCTION("""COMPUTED_VALUE"""),26.57)</f>
        <v>26.57</v>
      </c>
      <c r="E75" s="25">
        <f>IFERROR(__xludf.DUMMYFUNCTION("""COMPUTED_VALUE"""),25.42)</f>
        <v>25.42</v>
      </c>
      <c r="F75" s="25">
        <f>IFERROR(__xludf.DUMMYFUNCTION("""COMPUTED_VALUE"""),26.3)</f>
        <v>26.3</v>
      </c>
      <c r="G75" s="25">
        <f>IFERROR(__xludf.DUMMYFUNCTION("""COMPUTED_VALUE"""),1.69542549E8)</f>
        <v>169542549</v>
      </c>
      <c r="I75" s="32">
        <f>IFERROR(__xludf.DUMMYFUNCTION("""COMPUTED_VALUE"""),45709.66666666667)</f>
        <v>45709.66667</v>
      </c>
      <c r="J75" s="25">
        <f>IFERROR(__xludf.DUMMYFUNCTION("""COMPUTED_VALUE"""),24.6)</f>
        <v>24.6</v>
      </c>
      <c r="K75" s="25">
        <f>IFERROR(__xludf.DUMMYFUNCTION("""COMPUTED_VALUE"""),27.55)</f>
        <v>27.55</v>
      </c>
      <c r="L75" s="25">
        <f>IFERROR(__xludf.DUMMYFUNCTION("""COMPUTED_VALUE"""),24.48)</f>
        <v>24.48</v>
      </c>
      <c r="M75" s="25">
        <f>IFERROR(__xludf.DUMMYFUNCTION("""COMPUTED_VALUE"""),24.87)</f>
        <v>24.87</v>
      </c>
      <c r="N75" s="25">
        <f>IFERROR(__xludf.DUMMYFUNCTION("""COMPUTED_VALUE"""),6.92744362E8)</f>
        <v>692744362</v>
      </c>
      <c r="P75" s="32">
        <f>IFERROR(__xludf.DUMMYFUNCTION("""COMPUTED_VALUE"""),45709.66666666667)</f>
        <v>45709.66667</v>
      </c>
      <c r="Q75" s="25">
        <f>IFERROR(__xludf.DUMMYFUNCTION("""COMPUTED_VALUE"""),68.55)</f>
        <v>68.55</v>
      </c>
      <c r="R75" s="25">
        <f>IFERROR(__xludf.DUMMYFUNCTION("""COMPUTED_VALUE"""),71.6)</f>
        <v>71.6</v>
      </c>
      <c r="S75" s="25">
        <f>IFERROR(__xludf.DUMMYFUNCTION("""COMPUTED_VALUE"""),68.42)</f>
        <v>68.42</v>
      </c>
      <c r="T75" s="25">
        <f>IFERROR(__xludf.DUMMYFUNCTION("""COMPUTED_VALUE"""),71.35)</f>
        <v>71.35</v>
      </c>
      <c r="U75" s="25">
        <f>IFERROR(__xludf.DUMMYFUNCTION("""COMPUTED_VALUE"""),6.6661654E7)</f>
        <v>66661654</v>
      </c>
      <c r="W75" s="32">
        <f>IFERROR(__xludf.DUMMYFUNCTION("""COMPUTED_VALUE"""),45709.66666666667)</f>
        <v>45709.66667</v>
      </c>
      <c r="X75" s="25">
        <f>IFERROR(__xludf.DUMMYFUNCTION("""COMPUTED_VALUE"""),141.27)</f>
        <v>141.27</v>
      </c>
      <c r="Y75" s="25">
        <f>IFERROR(__xludf.DUMMYFUNCTION("""COMPUTED_VALUE"""),143.44)</f>
        <v>143.44</v>
      </c>
      <c r="Z75" s="25">
        <f>IFERROR(__xludf.DUMMYFUNCTION("""COMPUTED_VALUE"""),134.03)</f>
        <v>134.03</v>
      </c>
      <c r="AA75" s="25">
        <f>IFERROR(__xludf.DUMMYFUNCTION("""COMPUTED_VALUE"""),134.43)</f>
        <v>134.43</v>
      </c>
      <c r="AB75" s="25">
        <f>IFERROR(__xludf.DUMMYFUNCTION("""COMPUTED_VALUE"""),7.58833801E8)</f>
        <v>758833801</v>
      </c>
    </row>
    <row r="76">
      <c r="B76" s="32">
        <f>IFERROR(__xludf.DUMMYFUNCTION("""COMPUTED_VALUE"""),45716.66666666667)</f>
        <v>45716.66667</v>
      </c>
      <c r="C76" s="25">
        <f>IFERROR(__xludf.DUMMYFUNCTION("""COMPUTED_VALUE"""),26.4)</f>
        <v>26.4</v>
      </c>
      <c r="D76" s="25">
        <f>IFERROR(__xludf.DUMMYFUNCTION("""COMPUTED_VALUE"""),27.03)</f>
        <v>27.03</v>
      </c>
      <c r="E76" s="25">
        <f>IFERROR(__xludf.DUMMYFUNCTION("""COMPUTED_VALUE"""),25.88)</f>
        <v>25.88</v>
      </c>
      <c r="F76" s="25">
        <f>IFERROR(__xludf.DUMMYFUNCTION("""COMPUTED_VALUE"""),26.43)</f>
        <v>26.43</v>
      </c>
      <c r="G76" s="25">
        <f>IFERROR(__xludf.DUMMYFUNCTION("""COMPUTED_VALUE"""),1.97286776E8)</f>
        <v>197286776</v>
      </c>
      <c r="I76" s="32">
        <f>IFERROR(__xludf.DUMMYFUNCTION("""COMPUTED_VALUE"""),45716.66666666667)</f>
        <v>45716.66667</v>
      </c>
      <c r="J76" s="25">
        <f>IFERROR(__xludf.DUMMYFUNCTION("""COMPUTED_VALUE"""),24.55)</f>
        <v>24.55</v>
      </c>
      <c r="K76" s="25">
        <f>IFERROR(__xludf.DUMMYFUNCTION("""COMPUTED_VALUE"""),24.8)</f>
        <v>24.8</v>
      </c>
      <c r="L76" s="25">
        <f>IFERROR(__xludf.DUMMYFUNCTION("""COMPUTED_VALUE"""),22.64)</f>
        <v>22.64</v>
      </c>
      <c r="M76" s="25">
        <f>IFERROR(__xludf.DUMMYFUNCTION("""COMPUTED_VALUE"""),23.73)</f>
        <v>23.73</v>
      </c>
      <c r="N76" s="25">
        <f>IFERROR(__xludf.DUMMYFUNCTION("""COMPUTED_VALUE"""),4.49699566E8)</f>
        <v>449699566</v>
      </c>
      <c r="P76" s="32">
        <f>IFERROR(__xludf.DUMMYFUNCTION("""COMPUTED_VALUE"""),45716.66666666667)</f>
        <v>45716.66667</v>
      </c>
      <c r="Q76" s="25">
        <f>IFERROR(__xludf.DUMMYFUNCTION("""COMPUTED_VALUE"""),70.84)</f>
        <v>70.84</v>
      </c>
      <c r="R76" s="25">
        <f>IFERROR(__xludf.DUMMYFUNCTION("""COMPUTED_VALUE"""),71.77)</f>
        <v>71.77</v>
      </c>
      <c r="S76" s="25">
        <f>IFERROR(__xludf.DUMMYFUNCTION("""COMPUTED_VALUE"""),70.33)</f>
        <v>70.33</v>
      </c>
      <c r="T76" s="25">
        <f>IFERROR(__xludf.DUMMYFUNCTION("""COMPUTED_VALUE"""),71.21)</f>
        <v>71.21</v>
      </c>
      <c r="U76" s="25">
        <f>IFERROR(__xludf.DUMMYFUNCTION("""COMPUTED_VALUE"""),9.646206E7)</f>
        <v>96462060</v>
      </c>
      <c r="W76" s="32">
        <f>IFERROR(__xludf.DUMMYFUNCTION("""COMPUTED_VALUE"""),45716.66666666667)</f>
        <v>45716.66667</v>
      </c>
      <c r="X76" s="25">
        <f>IFERROR(__xludf.DUMMYFUNCTION("""COMPUTED_VALUE"""),136.56)</f>
        <v>136.56</v>
      </c>
      <c r="Y76" s="25">
        <f>IFERROR(__xludf.DUMMYFUNCTION("""COMPUTED_VALUE"""),138.59)</f>
        <v>138.59</v>
      </c>
      <c r="Z76" s="25">
        <f>IFERROR(__xludf.DUMMYFUNCTION("""COMPUTED_VALUE"""),116.4)</f>
        <v>116.4</v>
      </c>
      <c r="AA76" s="25">
        <f>IFERROR(__xludf.DUMMYFUNCTION("""COMPUTED_VALUE"""),124.92)</f>
        <v>124.92</v>
      </c>
      <c r="AB76" s="25">
        <f>IFERROR(__xludf.DUMMYFUNCTION("""COMPUTED_VALUE"""),1.677630653E9)</f>
        <v>1677630653</v>
      </c>
    </row>
    <row r="77">
      <c r="B77" s="32">
        <f>IFERROR(__xludf.DUMMYFUNCTION("""COMPUTED_VALUE"""),45723.66666666667)</f>
        <v>45723.66667</v>
      </c>
      <c r="C77" s="25">
        <f>IFERROR(__xludf.DUMMYFUNCTION("""COMPUTED_VALUE"""),26.37)</f>
        <v>26.37</v>
      </c>
      <c r="D77" s="25">
        <f>IFERROR(__xludf.DUMMYFUNCTION("""COMPUTED_VALUE"""),26.9)</f>
        <v>26.9</v>
      </c>
      <c r="E77" s="25">
        <f>IFERROR(__xludf.DUMMYFUNCTION("""COMPUTED_VALUE"""),25.66)</f>
        <v>25.66</v>
      </c>
      <c r="F77" s="25">
        <f>IFERROR(__xludf.DUMMYFUNCTION("""COMPUTED_VALUE"""),26.73)</f>
        <v>26.73</v>
      </c>
      <c r="G77" s="25">
        <f>IFERROR(__xludf.DUMMYFUNCTION("""COMPUTED_VALUE"""),2.43761984E8)</f>
        <v>243761984</v>
      </c>
      <c r="I77" s="32">
        <f>IFERROR(__xludf.DUMMYFUNCTION("""COMPUTED_VALUE"""),45723.66666666667)</f>
        <v>45723.66667</v>
      </c>
      <c r="J77" s="25">
        <f>IFERROR(__xludf.DUMMYFUNCTION("""COMPUTED_VALUE"""),25.0)</f>
        <v>25</v>
      </c>
      <c r="K77" s="25">
        <f>IFERROR(__xludf.DUMMYFUNCTION("""COMPUTED_VALUE"""),25.04)</f>
        <v>25.04</v>
      </c>
      <c r="L77" s="25">
        <f>IFERROR(__xludf.DUMMYFUNCTION("""COMPUTED_VALUE"""),20.0)</f>
        <v>20</v>
      </c>
      <c r="M77" s="25">
        <f>IFERROR(__xludf.DUMMYFUNCTION("""COMPUTED_VALUE"""),20.64)</f>
        <v>20.64</v>
      </c>
      <c r="N77" s="25">
        <f>IFERROR(__xludf.DUMMYFUNCTION("""COMPUTED_VALUE"""),5.98316178E8)</f>
        <v>598316178</v>
      </c>
      <c r="P77" s="32">
        <f>IFERROR(__xludf.DUMMYFUNCTION("""COMPUTED_VALUE"""),45723.66666666667)</f>
        <v>45723.66667</v>
      </c>
      <c r="Q77" s="25">
        <f>IFERROR(__xludf.DUMMYFUNCTION("""COMPUTED_VALUE"""),70.24)</f>
        <v>70.24</v>
      </c>
      <c r="R77" s="25">
        <f>IFERROR(__xludf.DUMMYFUNCTION("""COMPUTED_VALUE"""),72.65)</f>
        <v>72.65</v>
      </c>
      <c r="S77" s="25">
        <f>IFERROR(__xludf.DUMMYFUNCTION("""COMPUTED_VALUE"""),69.45)</f>
        <v>69.45</v>
      </c>
      <c r="T77" s="25">
        <f>IFERROR(__xludf.DUMMYFUNCTION("""COMPUTED_VALUE"""),71.43)</f>
        <v>71.43</v>
      </c>
      <c r="U77" s="25">
        <f>IFERROR(__xludf.DUMMYFUNCTION("""COMPUTED_VALUE"""),1.21150382E8)</f>
        <v>121150382</v>
      </c>
      <c r="W77" s="32">
        <f>IFERROR(__xludf.DUMMYFUNCTION("""COMPUTED_VALUE"""),45723.66666666667)</f>
        <v>45723.66667</v>
      </c>
      <c r="X77" s="25">
        <f>IFERROR(__xludf.DUMMYFUNCTION("""COMPUTED_VALUE"""),123.51)</f>
        <v>123.51</v>
      </c>
      <c r="Y77" s="25">
        <f>IFERROR(__xludf.DUMMYFUNCTION("""COMPUTED_VALUE"""),123.7)</f>
        <v>123.7</v>
      </c>
      <c r="Z77" s="25">
        <f>IFERROR(__xludf.DUMMYFUNCTION("""COMPUTED_VALUE"""),107.56)</f>
        <v>107.56</v>
      </c>
      <c r="AA77" s="25">
        <f>IFERROR(__xludf.DUMMYFUNCTION("""COMPUTED_VALUE"""),112.69)</f>
        <v>112.69</v>
      </c>
      <c r="AB77" s="25">
        <f>IFERROR(__xludf.DUMMYFUNCTION("""COMPUTED_VALUE"""),1.756819893E9)</f>
        <v>1756819893</v>
      </c>
    </row>
    <row r="78">
      <c r="B78" s="32">
        <f>IFERROR(__xludf.DUMMYFUNCTION("""COMPUTED_VALUE"""),45730.66666666667)</f>
        <v>45730.66667</v>
      </c>
      <c r="C78" s="25">
        <f>IFERROR(__xludf.DUMMYFUNCTION("""COMPUTED_VALUE"""),26.64)</f>
        <v>26.64</v>
      </c>
      <c r="D78" s="25">
        <f>IFERROR(__xludf.DUMMYFUNCTION("""COMPUTED_VALUE"""),27.24)</f>
        <v>27.24</v>
      </c>
      <c r="E78" s="25">
        <f>IFERROR(__xludf.DUMMYFUNCTION("""COMPUTED_VALUE"""),25.5)</f>
        <v>25.5</v>
      </c>
      <c r="F78" s="25">
        <f>IFERROR(__xludf.DUMMYFUNCTION("""COMPUTED_VALUE"""),25.72)</f>
        <v>25.72</v>
      </c>
      <c r="G78" s="25">
        <f>IFERROR(__xludf.DUMMYFUNCTION("""COMPUTED_VALUE"""),2.02202104E8)</f>
        <v>202202104</v>
      </c>
      <c r="I78" s="32">
        <f>IFERROR(__xludf.DUMMYFUNCTION("""COMPUTED_VALUE"""),45730.66666666667)</f>
        <v>45730.66667</v>
      </c>
      <c r="J78" s="25">
        <f>IFERROR(__xludf.DUMMYFUNCTION("""COMPUTED_VALUE"""),20.24)</f>
        <v>20.24</v>
      </c>
      <c r="K78" s="25">
        <f>IFERROR(__xludf.DUMMYFUNCTION("""COMPUTED_VALUE"""),24.53)</f>
        <v>24.53</v>
      </c>
      <c r="L78" s="25">
        <f>IFERROR(__xludf.DUMMYFUNCTION("""COMPUTED_VALUE"""),19.29)</f>
        <v>19.29</v>
      </c>
      <c r="M78" s="25">
        <f>IFERROR(__xludf.DUMMYFUNCTION("""COMPUTED_VALUE"""),24.05)</f>
        <v>24.05</v>
      </c>
      <c r="N78" s="25">
        <f>IFERROR(__xludf.DUMMYFUNCTION("""COMPUTED_VALUE"""),6.52383287E8)</f>
        <v>652383287</v>
      </c>
      <c r="P78" s="32">
        <f>IFERROR(__xludf.DUMMYFUNCTION("""COMPUTED_VALUE"""),45730.66666666667)</f>
        <v>45730.66667</v>
      </c>
      <c r="Q78" s="25">
        <f>IFERROR(__xludf.DUMMYFUNCTION("""COMPUTED_VALUE"""),71.96)</f>
        <v>71.96</v>
      </c>
      <c r="R78" s="25">
        <f>IFERROR(__xludf.DUMMYFUNCTION("""COMPUTED_VALUE"""),73.22)</f>
        <v>73.22</v>
      </c>
      <c r="S78" s="25">
        <f>IFERROR(__xludf.DUMMYFUNCTION("""COMPUTED_VALUE"""),68.38)</f>
        <v>68.38</v>
      </c>
      <c r="T78" s="25">
        <f>IFERROR(__xludf.DUMMYFUNCTION("""COMPUTED_VALUE"""),69.16)</f>
        <v>69.16</v>
      </c>
      <c r="U78" s="25">
        <f>IFERROR(__xludf.DUMMYFUNCTION("""COMPUTED_VALUE"""),1.02202589E8)</f>
        <v>102202589</v>
      </c>
      <c r="W78" s="32">
        <f>IFERROR(__xludf.DUMMYFUNCTION("""COMPUTED_VALUE"""),45730.66666666667)</f>
        <v>45730.66667</v>
      </c>
      <c r="X78" s="25">
        <f>IFERROR(__xludf.DUMMYFUNCTION("""COMPUTED_VALUE"""),109.9)</f>
        <v>109.9</v>
      </c>
      <c r="Y78" s="25">
        <f>IFERROR(__xludf.DUMMYFUNCTION("""COMPUTED_VALUE"""),121.88)</f>
        <v>121.88</v>
      </c>
      <c r="Z78" s="25">
        <f>IFERROR(__xludf.DUMMYFUNCTION("""COMPUTED_VALUE"""),104.77)</f>
        <v>104.77</v>
      </c>
      <c r="AA78" s="25">
        <f>IFERROR(__xludf.DUMMYFUNCTION("""COMPUTED_VALUE"""),121.67)</f>
        <v>121.67</v>
      </c>
      <c r="AB78" s="25">
        <f>IFERROR(__xludf.DUMMYFUNCTION("""COMPUTED_VALUE"""),1.621837095E9)</f>
        <v>1621837095</v>
      </c>
    </row>
    <row r="79">
      <c r="B79" s="32">
        <f>IFERROR(__xludf.DUMMYFUNCTION("""COMPUTED_VALUE"""),45737.66666666667)</f>
        <v>45737.66667</v>
      </c>
      <c r="C79" s="25">
        <f>IFERROR(__xludf.DUMMYFUNCTION("""COMPUTED_VALUE"""),25.74)</f>
        <v>25.74</v>
      </c>
      <c r="D79" s="25">
        <f>IFERROR(__xludf.DUMMYFUNCTION("""COMPUTED_VALUE"""),26.52)</f>
        <v>26.52</v>
      </c>
      <c r="E79" s="25">
        <f>IFERROR(__xludf.DUMMYFUNCTION("""COMPUTED_VALUE"""),25.59)</f>
        <v>25.59</v>
      </c>
      <c r="F79" s="25">
        <f>IFERROR(__xludf.DUMMYFUNCTION("""COMPUTED_VALUE"""),26.28)</f>
        <v>26.28</v>
      </c>
      <c r="G79" s="25">
        <f>IFERROR(__xludf.DUMMYFUNCTION("""COMPUTED_VALUE"""),4.93533735E8)</f>
        <v>493533735</v>
      </c>
      <c r="I79" s="32">
        <f>IFERROR(__xludf.DUMMYFUNCTION("""COMPUTED_VALUE"""),45737.66666666667)</f>
        <v>45737.66667</v>
      </c>
      <c r="J79" s="25">
        <f>IFERROR(__xludf.DUMMYFUNCTION("""COMPUTED_VALUE"""),24.42)</f>
        <v>24.42</v>
      </c>
      <c r="K79" s="25">
        <f>IFERROR(__xludf.DUMMYFUNCTION("""COMPUTED_VALUE"""),26.41)</f>
        <v>26.41</v>
      </c>
      <c r="L79" s="25">
        <f>IFERROR(__xludf.DUMMYFUNCTION("""COMPUTED_VALUE"""),23.49)</f>
        <v>23.49</v>
      </c>
      <c r="M79" s="25">
        <f>IFERROR(__xludf.DUMMYFUNCTION("""COMPUTED_VALUE"""),24.26)</f>
        <v>24.26</v>
      </c>
      <c r="N79" s="25">
        <f>IFERROR(__xludf.DUMMYFUNCTION("""COMPUTED_VALUE"""),5.91752176E8)</f>
        <v>591752176</v>
      </c>
      <c r="P79" s="32">
        <f>IFERROR(__xludf.DUMMYFUNCTION("""COMPUTED_VALUE"""),45737.66666666667)</f>
        <v>45737.66667</v>
      </c>
      <c r="Q79" s="25">
        <f>IFERROR(__xludf.DUMMYFUNCTION("""COMPUTED_VALUE"""),69.24)</f>
        <v>69.24</v>
      </c>
      <c r="R79" s="25">
        <f>IFERROR(__xludf.DUMMYFUNCTION("""COMPUTED_VALUE"""),70.19)</f>
        <v>70.19</v>
      </c>
      <c r="S79" s="25">
        <f>IFERROR(__xludf.DUMMYFUNCTION("""COMPUTED_VALUE"""),68.18)</f>
        <v>68.18</v>
      </c>
      <c r="T79" s="25">
        <f>IFERROR(__xludf.DUMMYFUNCTION("""COMPUTED_VALUE"""),68.67)</f>
        <v>68.67</v>
      </c>
      <c r="U79" s="25">
        <f>IFERROR(__xludf.DUMMYFUNCTION("""COMPUTED_VALUE"""),1.06847166E8)</f>
        <v>106847166</v>
      </c>
      <c r="W79" s="32">
        <f>IFERROR(__xludf.DUMMYFUNCTION("""COMPUTED_VALUE"""),45737.66666666667)</f>
        <v>45737.66667</v>
      </c>
      <c r="X79" s="25">
        <f>IFERROR(__xludf.DUMMYFUNCTION("""COMPUTED_VALUE"""),122.74)</f>
        <v>122.74</v>
      </c>
      <c r="Y79" s="25">
        <f>IFERROR(__xludf.DUMMYFUNCTION("""COMPUTED_VALUE"""),122.89)</f>
        <v>122.89</v>
      </c>
      <c r="Z79" s="25">
        <f>IFERROR(__xludf.DUMMYFUNCTION("""COMPUTED_VALUE"""),114.54)</f>
        <v>114.54</v>
      </c>
      <c r="AA79" s="25">
        <f>IFERROR(__xludf.DUMMYFUNCTION("""COMPUTED_VALUE"""),117.7)</f>
        <v>117.7</v>
      </c>
      <c r="AB79" s="25">
        <f>IFERROR(__xludf.DUMMYFUNCTION("""COMPUTED_VALUE"""),1.343942927E9)</f>
        <v>1343942927</v>
      </c>
    </row>
    <row r="80">
      <c r="B80" s="32">
        <f>IFERROR(__xludf.DUMMYFUNCTION("""COMPUTED_VALUE"""),45744.66666666667)</f>
        <v>45744.66667</v>
      </c>
      <c r="C80" s="25">
        <f>IFERROR(__xludf.DUMMYFUNCTION("""COMPUTED_VALUE"""),26.1)</f>
        <v>26.1</v>
      </c>
      <c r="D80" s="25">
        <f>IFERROR(__xludf.DUMMYFUNCTION("""COMPUTED_VALUE"""),26.22)</f>
        <v>26.22</v>
      </c>
      <c r="E80" s="25">
        <f>IFERROR(__xludf.DUMMYFUNCTION("""COMPUTED_VALUE"""),24.81)</f>
        <v>24.81</v>
      </c>
      <c r="F80" s="25">
        <f>IFERROR(__xludf.DUMMYFUNCTION("""COMPUTED_VALUE"""),25.21)</f>
        <v>25.21</v>
      </c>
      <c r="G80" s="25">
        <f>IFERROR(__xludf.DUMMYFUNCTION("""COMPUTED_VALUE"""),2.18785409E8)</f>
        <v>218785409</v>
      </c>
      <c r="I80" s="32">
        <f>IFERROR(__xludf.DUMMYFUNCTION("""COMPUTED_VALUE"""),45744.66666666667)</f>
        <v>45744.66667</v>
      </c>
      <c r="J80" s="25">
        <f>IFERROR(__xludf.DUMMYFUNCTION("""COMPUTED_VALUE"""),24.72)</f>
        <v>24.72</v>
      </c>
      <c r="K80" s="25">
        <f>IFERROR(__xludf.DUMMYFUNCTION("""COMPUTED_VALUE"""),24.99)</f>
        <v>24.99</v>
      </c>
      <c r="L80" s="25">
        <f>IFERROR(__xludf.DUMMYFUNCTION("""COMPUTED_VALUE"""),22.56)</f>
        <v>22.56</v>
      </c>
      <c r="M80" s="25">
        <f>IFERROR(__xludf.DUMMYFUNCTION("""COMPUTED_VALUE"""),22.71)</f>
        <v>22.71</v>
      </c>
      <c r="N80" s="25">
        <f>IFERROR(__xludf.DUMMYFUNCTION("""COMPUTED_VALUE"""),2.96676158E8)</f>
        <v>296676158</v>
      </c>
      <c r="P80" s="32">
        <f>IFERROR(__xludf.DUMMYFUNCTION("""COMPUTED_VALUE"""),45744.66666666667)</f>
        <v>45744.66667</v>
      </c>
      <c r="Q80" s="25">
        <f>IFERROR(__xludf.DUMMYFUNCTION("""COMPUTED_VALUE"""),68.8)</f>
        <v>68.8</v>
      </c>
      <c r="R80" s="25">
        <f>IFERROR(__xludf.DUMMYFUNCTION("""COMPUTED_VALUE"""),71.32)</f>
        <v>71.32</v>
      </c>
      <c r="S80" s="25">
        <f>IFERROR(__xludf.DUMMYFUNCTION("""COMPUTED_VALUE"""),68.33)</f>
        <v>68.33</v>
      </c>
      <c r="T80" s="25">
        <f>IFERROR(__xludf.DUMMYFUNCTION("""COMPUTED_VALUE"""),70.37)</f>
        <v>70.37</v>
      </c>
      <c r="U80" s="25">
        <f>IFERROR(__xludf.DUMMYFUNCTION("""COMPUTED_VALUE"""),6.8648353E7)</f>
        <v>68648353</v>
      </c>
      <c r="W80" s="32">
        <f>IFERROR(__xludf.DUMMYFUNCTION("""COMPUTED_VALUE"""),45744.66666666667)</f>
        <v>45744.66667</v>
      </c>
      <c r="X80" s="25">
        <f>IFERROR(__xludf.DUMMYFUNCTION("""COMPUTED_VALUE"""),119.88)</f>
        <v>119.88</v>
      </c>
      <c r="Y80" s="25">
        <f>IFERROR(__xludf.DUMMYFUNCTION("""COMPUTED_VALUE"""),122.22)</f>
        <v>122.22</v>
      </c>
      <c r="Z80" s="25">
        <f>IFERROR(__xludf.DUMMYFUNCTION("""COMPUTED_VALUE"""),109.07)</f>
        <v>109.07</v>
      </c>
      <c r="AA80" s="25">
        <f>IFERROR(__xludf.DUMMYFUNCTION("""COMPUTED_VALUE"""),109.67)</f>
        <v>109.67</v>
      </c>
      <c r="AB80" s="25">
        <f>IFERROR(__xludf.DUMMYFUNCTION("""COMPUTED_VALUE"""),1.159106003E9)</f>
        <v>1159106003</v>
      </c>
    </row>
    <row r="81">
      <c r="B81" s="32">
        <f>IFERROR(__xludf.DUMMYFUNCTION("""COMPUTED_VALUE"""),45751.66666666667)</f>
        <v>45751.66667</v>
      </c>
      <c r="C81" s="25">
        <f>IFERROR(__xludf.DUMMYFUNCTION("""COMPUTED_VALUE"""),24.8)</f>
        <v>24.8</v>
      </c>
      <c r="D81" s="25">
        <f>IFERROR(__xludf.DUMMYFUNCTION("""COMPUTED_VALUE"""),25.43)</f>
        <v>25.43</v>
      </c>
      <c r="E81" s="25">
        <f>IFERROR(__xludf.DUMMYFUNCTION("""COMPUTED_VALUE"""),22.95)</f>
        <v>22.95</v>
      </c>
      <c r="F81" s="25">
        <f>IFERROR(__xludf.DUMMYFUNCTION("""COMPUTED_VALUE"""),22.97)</f>
        <v>22.97</v>
      </c>
      <c r="G81" s="25">
        <f>IFERROR(__xludf.DUMMYFUNCTION("""COMPUTED_VALUE"""),2.83411702E8)</f>
        <v>283411702</v>
      </c>
      <c r="I81" s="32">
        <f>IFERROR(__xludf.DUMMYFUNCTION("""COMPUTED_VALUE"""),45751.66666666667)</f>
        <v>45751.66667</v>
      </c>
      <c r="J81" s="25">
        <f>IFERROR(__xludf.DUMMYFUNCTION("""COMPUTED_VALUE"""),22.38)</f>
        <v>22.38</v>
      </c>
      <c r="K81" s="25">
        <f>IFERROR(__xludf.DUMMYFUNCTION("""COMPUTED_VALUE"""),23.9)</f>
        <v>23.9</v>
      </c>
      <c r="L81" s="25">
        <f>IFERROR(__xludf.DUMMYFUNCTION("""COMPUTED_VALUE"""),19.7)</f>
        <v>19.7</v>
      </c>
      <c r="M81" s="25">
        <f>IFERROR(__xludf.DUMMYFUNCTION("""COMPUTED_VALUE"""),19.85)</f>
        <v>19.85</v>
      </c>
      <c r="N81" s="25">
        <f>IFERROR(__xludf.DUMMYFUNCTION("""COMPUTED_VALUE"""),6.0675809E8)</f>
        <v>606758090</v>
      </c>
      <c r="P81" s="32">
        <f>IFERROR(__xludf.DUMMYFUNCTION("""COMPUTED_VALUE"""),45751.66666666667)</f>
        <v>45751.66667</v>
      </c>
      <c r="Q81" s="25">
        <f>IFERROR(__xludf.DUMMYFUNCTION("""COMPUTED_VALUE"""),70.73)</f>
        <v>70.73</v>
      </c>
      <c r="R81" s="25">
        <f>IFERROR(__xludf.DUMMYFUNCTION("""COMPUTED_VALUE"""),73.95)</f>
        <v>73.95</v>
      </c>
      <c r="S81" s="25">
        <f>IFERROR(__xludf.DUMMYFUNCTION("""COMPUTED_VALUE"""),69.79)</f>
        <v>69.79</v>
      </c>
      <c r="T81" s="25">
        <f>IFERROR(__xludf.DUMMYFUNCTION("""COMPUTED_VALUE"""),69.93)</f>
        <v>69.93</v>
      </c>
      <c r="U81" s="25">
        <f>IFERROR(__xludf.DUMMYFUNCTION("""COMPUTED_VALUE"""),1.05409413E8)</f>
        <v>105409413</v>
      </c>
      <c r="W81" s="32">
        <f>IFERROR(__xludf.DUMMYFUNCTION("""COMPUTED_VALUE"""),45751.66666666667)</f>
        <v>45751.66667</v>
      </c>
      <c r="X81" s="25">
        <f>IFERROR(__xludf.DUMMYFUNCTION("""COMPUTED_VALUE"""),105.13)</f>
        <v>105.13</v>
      </c>
      <c r="Y81" s="25">
        <f>IFERROR(__xludf.DUMMYFUNCTION("""COMPUTED_VALUE"""),111.98)</f>
        <v>111.98</v>
      </c>
      <c r="Z81" s="25">
        <f>IFERROR(__xludf.DUMMYFUNCTION("""COMPUTED_VALUE"""),92.11)</f>
        <v>92.11</v>
      </c>
      <c r="AA81" s="25">
        <f>IFERROR(__xludf.DUMMYFUNCTION("""COMPUTED_VALUE"""),94.31)</f>
        <v>94.31</v>
      </c>
      <c r="AB81" s="25">
        <f>IFERROR(__xludf.DUMMYFUNCTION("""COMPUTED_VALUE"""),1.613471152E9)</f>
        <v>1613471152</v>
      </c>
    </row>
    <row r="82">
      <c r="B82" s="32">
        <f>IFERROR(__xludf.DUMMYFUNCTION("""COMPUTED_VALUE"""),45758.66666666667)</f>
        <v>45758.66667</v>
      </c>
      <c r="C82" s="25">
        <f>IFERROR(__xludf.DUMMYFUNCTION("""COMPUTED_VALUE"""),22.14)</f>
        <v>22.14</v>
      </c>
      <c r="D82" s="25">
        <f>IFERROR(__xludf.DUMMYFUNCTION("""COMPUTED_VALUE"""),23.16)</f>
        <v>23.16</v>
      </c>
      <c r="E82" s="25">
        <f>IFERROR(__xludf.DUMMYFUNCTION("""COMPUTED_VALUE"""),20.92)</f>
        <v>20.92</v>
      </c>
      <c r="F82" s="25">
        <f>IFERROR(__xludf.DUMMYFUNCTION("""COMPUTED_VALUE"""),21.91)</f>
        <v>21.91</v>
      </c>
      <c r="G82" s="25">
        <f>IFERROR(__xludf.DUMMYFUNCTION("""COMPUTED_VALUE"""),3.82505222E8)</f>
        <v>382505222</v>
      </c>
      <c r="I82" s="32">
        <f>IFERROR(__xludf.DUMMYFUNCTION("""COMPUTED_VALUE"""),45758.66666666667)</f>
        <v>45758.66667</v>
      </c>
      <c r="J82" s="25">
        <f>IFERROR(__xludf.DUMMYFUNCTION("""COMPUTED_VALUE"""),19.14)</f>
        <v>19.14</v>
      </c>
      <c r="K82" s="25">
        <f>IFERROR(__xludf.DUMMYFUNCTION("""COMPUTED_VALUE"""),21.73)</f>
        <v>21.73</v>
      </c>
      <c r="L82" s="25">
        <f>IFERROR(__xludf.DUMMYFUNCTION("""COMPUTED_VALUE"""),17.67)</f>
        <v>17.67</v>
      </c>
      <c r="M82" s="25">
        <f>IFERROR(__xludf.DUMMYFUNCTION("""COMPUTED_VALUE"""),19.74)</f>
        <v>19.74</v>
      </c>
      <c r="N82" s="25">
        <f>IFERROR(__xludf.DUMMYFUNCTION("""COMPUTED_VALUE"""),7.88147988E8)</f>
        <v>788147988</v>
      </c>
      <c r="P82" s="32">
        <f>IFERROR(__xludf.DUMMYFUNCTION("""COMPUTED_VALUE"""),45758.66666666667)</f>
        <v>45758.66667</v>
      </c>
      <c r="Q82" s="25">
        <f>IFERROR(__xludf.DUMMYFUNCTION("""COMPUTED_VALUE"""),66.23)</f>
        <v>66.23</v>
      </c>
      <c r="R82" s="25">
        <f>IFERROR(__xludf.DUMMYFUNCTION("""COMPUTED_VALUE"""),71.85)</f>
        <v>71.85</v>
      </c>
      <c r="S82" s="25">
        <f>IFERROR(__xludf.DUMMYFUNCTION("""COMPUTED_VALUE"""),66.05)</f>
        <v>66.05</v>
      </c>
      <c r="T82" s="25">
        <f>IFERROR(__xludf.DUMMYFUNCTION("""COMPUTED_VALUE"""),71.43)</f>
        <v>71.43</v>
      </c>
      <c r="U82" s="25">
        <f>IFERROR(__xludf.DUMMYFUNCTION("""COMPUTED_VALUE"""),1.27389829E8)</f>
        <v>127389829</v>
      </c>
      <c r="W82" s="32">
        <f>IFERROR(__xludf.DUMMYFUNCTION("""COMPUTED_VALUE"""),45758.66666666667)</f>
        <v>45758.66667</v>
      </c>
      <c r="X82" s="25">
        <f>IFERROR(__xludf.DUMMYFUNCTION("""COMPUTED_VALUE"""),87.46)</f>
        <v>87.46</v>
      </c>
      <c r="Y82" s="25">
        <f>IFERROR(__xludf.DUMMYFUNCTION("""COMPUTED_VALUE"""),115.1)</f>
        <v>115.1</v>
      </c>
      <c r="Z82" s="25">
        <f>IFERROR(__xludf.DUMMYFUNCTION("""COMPUTED_VALUE"""),86.62)</f>
        <v>86.62</v>
      </c>
      <c r="AA82" s="25">
        <f>IFERROR(__xludf.DUMMYFUNCTION("""COMPUTED_VALUE"""),110.93)</f>
        <v>110.93</v>
      </c>
      <c r="AB82" s="25">
        <f>IFERROR(__xludf.DUMMYFUNCTION("""COMPUTED_VALUE"""),2.451432693E9)</f>
        <v>2451432693</v>
      </c>
    </row>
    <row r="83">
      <c r="B83" s="32">
        <f>IFERROR(__xludf.DUMMYFUNCTION("""COMPUTED_VALUE"""),45764.66666666667)</f>
        <v>45764.66667</v>
      </c>
      <c r="C83" s="25">
        <f>IFERROR(__xludf.DUMMYFUNCTION("""COMPUTED_VALUE"""),22.08)</f>
        <v>22.08</v>
      </c>
      <c r="D83" s="25">
        <f>IFERROR(__xludf.DUMMYFUNCTION("""COMPUTED_VALUE"""),22.93)</f>
        <v>22.93</v>
      </c>
      <c r="E83" s="25">
        <f>IFERROR(__xludf.DUMMYFUNCTION("""COMPUTED_VALUE"""),21.87)</f>
        <v>21.87</v>
      </c>
      <c r="F83" s="25">
        <f>IFERROR(__xludf.DUMMYFUNCTION("""COMPUTED_VALUE"""),22.14)</f>
        <v>22.14</v>
      </c>
      <c r="G83" s="25">
        <f>IFERROR(__xludf.DUMMYFUNCTION("""COMPUTED_VALUE"""),2.05430413E8)</f>
        <v>205430413</v>
      </c>
      <c r="I83" s="32">
        <f>IFERROR(__xludf.DUMMYFUNCTION("""COMPUTED_VALUE"""),45764.66666666667)</f>
        <v>45764.66667</v>
      </c>
      <c r="J83" s="25">
        <f>IFERROR(__xludf.DUMMYFUNCTION("""COMPUTED_VALUE"""),20.59)</f>
        <v>20.59</v>
      </c>
      <c r="K83" s="25">
        <f>IFERROR(__xludf.DUMMYFUNCTION("""COMPUTED_VALUE"""),21.05)</f>
        <v>21.05</v>
      </c>
      <c r="L83" s="25">
        <f>IFERROR(__xludf.DUMMYFUNCTION("""COMPUTED_VALUE"""),18.56)</f>
        <v>18.56</v>
      </c>
      <c r="M83" s="25">
        <f>IFERROR(__xludf.DUMMYFUNCTION("""COMPUTED_VALUE"""),18.93)</f>
        <v>18.93</v>
      </c>
      <c r="N83" s="25">
        <f>IFERROR(__xludf.DUMMYFUNCTION("""COMPUTED_VALUE"""),3.41137636E8)</f>
        <v>341137636</v>
      </c>
      <c r="P83" s="32">
        <f>IFERROR(__xludf.DUMMYFUNCTION("""COMPUTED_VALUE"""),45764.66666666667)</f>
        <v>45764.66667</v>
      </c>
      <c r="Q83" s="25">
        <f>IFERROR(__xludf.DUMMYFUNCTION("""COMPUTED_VALUE"""),71.3)</f>
        <v>71.3</v>
      </c>
      <c r="R83" s="25">
        <f>IFERROR(__xludf.DUMMYFUNCTION("""COMPUTED_VALUE"""),73.43)</f>
        <v>73.43</v>
      </c>
      <c r="S83" s="25">
        <f>IFERROR(__xludf.DUMMYFUNCTION("""COMPUTED_VALUE"""),70.93)</f>
        <v>70.93</v>
      </c>
      <c r="T83" s="25">
        <f>IFERROR(__xludf.DUMMYFUNCTION("""COMPUTED_VALUE"""),73.0)</f>
        <v>73</v>
      </c>
      <c r="U83" s="25">
        <f>IFERROR(__xludf.DUMMYFUNCTION("""COMPUTED_VALUE"""),6.492641E7)</f>
        <v>64926410</v>
      </c>
      <c r="W83" s="32">
        <f>IFERROR(__xludf.DUMMYFUNCTION("""COMPUTED_VALUE"""),45764.66666666667)</f>
        <v>45764.66667</v>
      </c>
      <c r="X83" s="25">
        <f>IFERROR(__xludf.DUMMYFUNCTION("""COMPUTED_VALUE"""),114.11)</f>
        <v>114.11</v>
      </c>
      <c r="Y83" s="25">
        <f>IFERROR(__xludf.DUMMYFUNCTION("""COMPUTED_VALUE"""),114.29)</f>
        <v>114.29</v>
      </c>
      <c r="Z83" s="25">
        <f>IFERROR(__xludf.DUMMYFUNCTION("""COMPUTED_VALUE"""),100.05)</f>
        <v>100.05</v>
      </c>
      <c r="AA83" s="25">
        <f>IFERROR(__xludf.DUMMYFUNCTION("""COMPUTED_VALUE"""),101.49)</f>
        <v>101.49</v>
      </c>
      <c r="AB83" s="25">
        <f>IFERROR(__xludf.DUMMYFUNCTION("""COMPUTED_VALUE"""),1.183206284E9)</f>
        <v>1183206284</v>
      </c>
    </row>
    <row r="84">
      <c r="B84" s="32">
        <f>IFERROR(__xludf.DUMMYFUNCTION("""COMPUTED_VALUE"""),45772.66666666667)</f>
        <v>45772.66667</v>
      </c>
      <c r="C84" s="25">
        <f>IFERROR(__xludf.DUMMYFUNCTION("""COMPUTED_VALUE"""),22.13)</f>
        <v>22.13</v>
      </c>
      <c r="D84" s="25">
        <f>IFERROR(__xludf.DUMMYFUNCTION("""COMPUTED_VALUE"""),23.11)</f>
        <v>23.11</v>
      </c>
      <c r="E84" s="25">
        <f>IFERROR(__xludf.DUMMYFUNCTION("""COMPUTED_VALUE"""),21.87)</f>
        <v>21.87</v>
      </c>
      <c r="F84" s="25">
        <f>IFERROR(__xludf.DUMMYFUNCTION("""COMPUTED_VALUE"""),22.92)</f>
        <v>22.92</v>
      </c>
      <c r="G84" s="25">
        <f>IFERROR(__xludf.DUMMYFUNCTION("""COMPUTED_VALUE"""),1.89711914E8)</f>
        <v>189711914</v>
      </c>
      <c r="I84" s="32">
        <f>IFERROR(__xludf.DUMMYFUNCTION("""COMPUTED_VALUE"""),45772.66666666667)</f>
        <v>45772.66667</v>
      </c>
      <c r="J84" s="25">
        <f>IFERROR(__xludf.DUMMYFUNCTION("""COMPUTED_VALUE"""),18.93)</f>
        <v>18.93</v>
      </c>
      <c r="K84" s="25">
        <f>IFERROR(__xludf.DUMMYFUNCTION("""COMPUTED_VALUE"""),21.55)</f>
        <v>21.55</v>
      </c>
      <c r="L84" s="25">
        <f>IFERROR(__xludf.DUMMYFUNCTION("""COMPUTED_VALUE"""),18.25)</f>
        <v>18.25</v>
      </c>
      <c r="M84" s="25">
        <f>IFERROR(__xludf.DUMMYFUNCTION("""COMPUTED_VALUE"""),20.05)</f>
        <v>20.05</v>
      </c>
      <c r="N84" s="25">
        <f>IFERROR(__xludf.DUMMYFUNCTION("""COMPUTED_VALUE"""),5.17761075E8)</f>
        <v>517761075</v>
      </c>
      <c r="P84" s="32">
        <f>IFERROR(__xludf.DUMMYFUNCTION("""COMPUTED_VALUE"""),45772.66666666667)</f>
        <v>45772.66667</v>
      </c>
      <c r="Q84" s="25">
        <f>IFERROR(__xludf.DUMMYFUNCTION("""COMPUTED_VALUE"""),73.38)</f>
        <v>73.38</v>
      </c>
      <c r="R84" s="25">
        <f>IFERROR(__xludf.DUMMYFUNCTION("""COMPUTED_VALUE"""),74.38)</f>
        <v>74.38</v>
      </c>
      <c r="S84" s="25">
        <f>IFERROR(__xludf.DUMMYFUNCTION("""COMPUTED_VALUE"""),71.13)</f>
        <v>71.13</v>
      </c>
      <c r="T84" s="25">
        <f>IFERROR(__xludf.DUMMYFUNCTION("""COMPUTED_VALUE"""),71.91)</f>
        <v>71.91</v>
      </c>
      <c r="U84" s="25">
        <f>IFERROR(__xludf.DUMMYFUNCTION("""COMPUTED_VALUE"""),8.121448E7)</f>
        <v>81214480</v>
      </c>
      <c r="W84" s="32">
        <f>IFERROR(__xludf.DUMMYFUNCTION("""COMPUTED_VALUE"""),45772.66666666667)</f>
        <v>45772.66667</v>
      </c>
      <c r="X84" s="25">
        <f>IFERROR(__xludf.DUMMYFUNCTION("""COMPUTED_VALUE"""),98.77)</f>
        <v>98.77</v>
      </c>
      <c r="Y84" s="25">
        <f>IFERROR(__xludf.DUMMYFUNCTION("""COMPUTED_VALUE"""),111.92)</f>
        <v>111.92</v>
      </c>
      <c r="Z84" s="25">
        <f>IFERROR(__xludf.DUMMYFUNCTION("""COMPUTED_VALUE"""),95.04)</f>
        <v>95.04</v>
      </c>
      <c r="AA84" s="25">
        <f>IFERROR(__xludf.DUMMYFUNCTION("""COMPUTED_VALUE"""),111.01)</f>
        <v>111.01</v>
      </c>
      <c r="AB84" s="25">
        <f>IFERROR(__xludf.DUMMYFUNCTION("""COMPUTED_VALUE"""),1.248911604E9)</f>
        <v>1248911604</v>
      </c>
    </row>
    <row r="85">
      <c r="B85" s="32">
        <f>IFERROR(__xludf.DUMMYFUNCTION("""COMPUTED_VALUE"""),45779.66666666667)</f>
        <v>45779.66667</v>
      </c>
      <c r="C85" s="25">
        <f>IFERROR(__xludf.DUMMYFUNCTION("""COMPUTED_VALUE"""),23.03)</f>
        <v>23.03</v>
      </c>
      <c r="D85" s="25">
        <f>IFERROR(__xludf.DUMMYFUNCTION("""COMPUTED_VALUE"""),24.44)</f>
        <v>24.44</v>
      </c>
      <c r="E85" s="25">
        <f>IFERROR(__xludf.DUMMYFUNCTION("""COMPUTED_VALUE"""),22.46)</f>
        <v>22.46</v>
      </c>
      <c r="F85" s="25">
        <f>IFERROR(__xludf.DUMMYFUNCTION("""COMPUTED_VALUE"""),24.2)</f>
        <v>24.2</v>
      </c>
      <c r="G85" s="25">
        <f>IFERROR(__xludf.DUMMYFUNCTION("""COMPUTED_VALUE"""),2.96948288E8)</f>
        <v>296948288</v>
      </c>
      <c r="I85" s="32">
        <f>IFERROR(__xludf.DUMMYFUNCTION("""COMPUTED_VALUE"""),45779.66666666667)</f>
        <v>45779.66667</v>
      </c>
      <c r="J85" s="25">
        <f>IFERROR(__xludf.DUMMYFUNCTION("""COMPUTED_VALUE"""),20.12)</f>
        <v>20.12</v>
      </c>
      <c r="K85" s="25">
        <f>IFERROR(__xludf.DUMMYFUNCTION("""COMPUTED_VALUE"""),21.08)</f>
        <v>21.08</v>
      </c>
      <c r="L85" s="25">
        <f>IFERROR(__xludf.DUMMYFUNCTION("""COMPUTED_VALUE"""),19.55)</f>
        <v>19.55</v>
      </c>
      <c r="M85" s="25">
        <f>IFERROR(__xludf.DUMMYFUNCTION("""COMPUTED_VALUE"""),20.62)</f>
        <v>20.62</v>
      </c>
      <c r="N85" s="25">
        <f>IFERROR(__xludf.DUMMYFUNCTION("""COMPUTED_VALUE"""),3.70859626E8)</f>
        <v>370859626</v>
      </c>
      <c r="P85" s="32">
        <f>IFERROR(__xludf.DUMMYFUNCTION("""COMPUTED_VALUE"""),45779.66666666667)</f>
        <v>45779.66667</v>
      </c>
      <c r="Q85" s="25">
        <f>IFERROR(__xludf.DUMMYFUNCTION("""COMPUTED_VALUE"""),72.08)</f>
        <v>72.08</v>
      </c>
      <c r="R85" s="25">
        <f>IFERROR(__xludf.DUMMYFUNCTION("""COMPUTED_VALUE"""),73.48)</f>
        <v>73.48</v>
      </c>
      <c r="S85" s="25">
        <f>IFERROR(__xludf.DUMMYFUNCTION("""COMPUTED_VALUE"""),70.28)</f>
        <v>70.28</v>
      </c>
      <c r="T85" s="25">
        <f>IFERROR(__xludf.DUMMYFUNCTION("""COMPUTED_VALUE"""),71.65)</f>
        <v>71.65</v>
      </c>
      <c r="U85" s="25">
        <f>IFERROR(__xludf.DUMMYFUNCTION("""COMPUTED_VALUE"""),8.397996E7)</f>
        <v>83979960</v>
      </c>
      <c r="W85" s="32">
        <f>IFERROR(__xludf.DUMMYFUNCTION("""COMPUTED_VALUE"""),45779.66666666667)</f>
        <v>45779.66667</v>
      </c>
      <c r="X85" s="25">
        <f>IFERROR(__xludf.DUMMYFUNCTION("""COMPUTED_VALUE"""),109.69)</f>
        <v>109.69</v>
      </c>
      <c r="Y85" s="25">
        <f>IFERROR(__xludf.DUMMYFUNCTION("""COMPUTED_VALUE"""),115.4)</f>
        <v>115.4</v>
      </c>
      <c r="Z85" s="25">
        <f>IFERROR(__xludf.DUMMYFUNCTION("""COMPUTED_VALUE"""),104.08)</f>
        <v>104.08</v>
      </c>
      <c r="AA85" s="25">
        <f>IFERROR(__xludf.DUMMYFUNCTION("""COMPUTED_VALUE"""),114.5)</f>
        <v>114.5</v>
      </c>
      <c r="AB85" s="25">
        <f>IFERROR(__xludf.DUMMYFUNCTION("""COMPUTED_VALUE"""),1.039513638E9)</f>
        <v>1039513638</v>
      </c>
    </row>
    <row r="86">
      <c r="B86" s="32">
        <f>IFERROR(__xludf.DUMMYFUNCTION("""COMPUTED_VALUE"""),45786.66666666667)</f>
        <v>45786.66667</v>
      </c>
      <c r="C86" s="25">
        <f>IFERROR(__xludf.DUMMYFUNCTION("""COMPUTED_VALUE"""),24.2)</f>
        <v>24.2</v>
      </c>
      <c r="D86" s="25">
        <f>IFERROR(__xludf.DUMMYFUNCTION("""COMPUTED_VALUE"""),24.25)</f>
        <v>24.25</v>
      </c>
      <c r="E86" s="25">
        <f>IFERROR(__xludf.DUMMYFUNCTION("""COMPUTED_VALUE"""),22.26)</f>
        <v>22.26</v>
      </c>
      <c r="F86" s="25">
        <f>IFERROR(__xludf.DUMMYFUNCTION("""COMPUTED_VALUE"""),22.28)</f>
        <v>22.28</v>
      </c>
      <c r="G86" s="25">
        <f>IFERROR(__xludf.DUMMYFUNCTION("""COMPUTED_VALUE"""),2.44783918E8)</f>
        <v>244783918</v>
      </c>
      <c r="I86" s="32">
        <f>IFERROR(__xludf.DUMMYFUNCTION("""COMPUTED_VALUE"""),45786.66666666667)</f>
        <v>45786.66667</v>
      </c>
      <c r="J86" s="25">
        <f>IFERROR(__xludf.DUMMYFUNCTION("""COMPUTED_VALUE"""),20.39)</f>
        <v>20.39</v>
      </c>
      <c r="K86" s="25">
        <f>IFERROR(__xludf.DUMMYFUNCTION("""COMPUTED_VALUE"""),21.45)</f>
        <v>21.45</v>
      </c>
      <c r="L86" s="25">
        <f>IFERROR(__xludf.DUMMYFUNCTION("""COMPUTED_VALUE"""),19.77)</f>
        <v>19.77</v>
      </c>
      <c r="M86" s="25">
        <f>IFERROR(__xludf.DUMMYFUNCTION("""COMPUTED_VALUE"""),21.42)</f>
        <v>21.42</v>
      </c>
      <c r="N86" s="25">
        <f>IFERROR(__xludf.DUMMYFUNCTION("""COMPUTED_VALUE"""),2.80122309E8)</f>
        <v>280122309</v>
      </c>
      <c r="P86" s="32">
        <f>IFERROR(__xludf.DUMMYFUNCTION("""COMPUTED_VALUE"""),45786.66666666667)</f>
        <v>45786.66667</v>
      </c>
      <c r="Q86" s="25">
        <f>IFERROR(__xludf.DUMMYFUNCTION("""COMPUTED_VALUE"""),71.67)</f>
        <v>71.67</v>
      </c>
      <c r="R86" s="25">
        <f>IFERROR(__xludf.DUMMYFUNCTION("""COMPUTED_VALUE"""),72.69)</f>
        <v>72.69</v>
      </c>
      <c r="S86" s="25">
        <f>IFERROR(__xludf.DUMMYFUNCTION("""COMPUTED_VALUE"""),70.46)</f>
        <v>70.46</v>
      </c>
      <c r="T86" s="25">
        <f>IFERROR(__xludf.DUMMYFUNCTION("""COMPUTED_VALUE"""),70.52)</f>
        <v>70.52</v>
      </c>
      <c r="U86" s="25">
        <f>IFERROR(__xludf.DUMMYFUNCTION("""COMPUTED_VALUE"""),6.5263956E7)</f>
        <v>65263956</v>
      </c>
      <c r="W86" s="32">
        <f>IFERROR(__xludf.DUMMYFUNCTION("""COMPUTED_VALUE"""),45786.66666666667)</f>
        <v>45786.66667</v>
      </c>
      <c r="X86" s="25">
        <f>IFERROR(__xludf.DUMMYFUNCTION("""COMPUTED_VALUE"""),112.91)</f>
        <v>112.91</v>
      </c>
      <c r="Y86" s="25">
        <f>IFERROR(__xludf.DUMMYFUNCTION("""COMPUTED_VALUE"""),118.68)</f>
        <v>118.68</v>
      </c>
      <c r="Z86" s="25">
        <f>IFERROR(__xludf.DUMMYFUNCTION("""COMPUTED_VALUE"""),110.82)</f>
        <v>110.82</v>
      </c>
      <c r="AA86" s="25">
        <f>IFERROR(__xludf.DUMMYFUNCTION("""COMPUTED_VALUE"""),116.65)</f>
        <v>116.65</v>
      </c>
      <c r="AB86" s="25">
        <f>IFERROR(__xludf.DUMMYFUNCTION("""COMPUTED_VALUE"""),8.30916994E8)</f>
        <v>830916994</v>
      </c>
    </row>
    <row r="87">
      <c r="B87" s="32">
        <f>IFERROR(__xludf.DUMMYFUNCTION("""COMPUTED_VALUE"""),45793.66666666667)</f>
        <v>45793.66667</v>
      </c>
      <c r="C87" s="25">
        <f>IFERROR(__xludf.DUMMYFUNCTION("""COMPUTED_VALUE"""),22.23)</f>
        <v>22.23</v>
      </c>
      <c r="D87" s="25">
        <f>IFERROR(__xludf.DUMMYFUNCTION("""COMPUTED_VALUE"""),23.15)</f>
        <v>23.15</v>
      </c>
      <c r="E87" s="25">
        <f>IFERROR(__xludf.DUMMYFUNCTION("""COMPUTED_VALUE"""),21.97)</f>
        <v>21.97</v>
      </c>
      <c r="F87" s="25">
        <f>IFERROR(__xludf.DUMMYFUNCTION("""COMPUTED_VALUE"""),22.83)</f>
        <v>22.83</v>
      </c>
      <c r="G87" s="25">
        <f>IFERROR(__xludf.DUMMYFUNCTION("""COMPUTED_VALUE"""),2.67655006E8)</f>
        <v>267655006</v>
      </c>
      <c r="I87" s="32">
        <f>IFERROR(__xludf.DUMMYFUNCTION("""COMPUTED_VALUE"""),45793.66666666667)</f>
        <v>45793.66667</v>
      </c>
      <c r="J87" s="25">
        <f>IFERROR(__xludf.DUMMYFUNCTION("""COMPUTED_VALUE"""),22.18)</f>
        <v>22.18</v>
      </c>
      <c r="K87" s="25">
        <f>IFERROR(__xludf.DUMMYFUNCTION("""COMPUTED_VALUE"""),22.88)</f>
        <v>22.88</v>
      </c>
      <c r="L87" s="25">
        <f>IFERROR(__xludf.DUMMYFUNCTION("""COMPUTED_VALUE"""),21.19)</f>
        <v>21.19</v>
      </c>
      <c r="M87" s="25">
        <f>IFERROR(__xludf.DUMMYFUNCTION("""COMPUTED_VALUE"""),21.66)</f>
        <v>21.66</v>
      </c>
      <c r="N87" s="25">
        <f>IFERROR(__xludf.DUMMYFUNCTION("""COMPUTED_VALUE"""),3.85514504E8)</f>
        <v>385514504</v>
      </c>
      <c r="P87" s="32">
        <f>IFERROR(__xludf.DUMMYFUNCTION("""COMPUTED_VALUE"""),45793.66666666667)</f>
        <v>45793.66667</v>
      </c>
      <c r="Q87" s="25">
        <f>IFERROR(__xludf.DUMMYFUNCTION("""COMPUTED_VALUE"""),70.15)</f>
        <v>70.15</v>
      </c>
      <c r="R87" s="25">
        <f>IFERROR(__xludf.DUMMYFUNCTION("""COMPUTED_VALUE"""),72.26)</f>
        <v>72.26</v>
      </c>
      <c r="S87" s="25">
        <f>IFERROR(__xludf.DUMMYFUNCTION("""COMPUTED_VALUE"""),68.58)</f>
        <v>68.58</v>
      </c>
      <c r="T87" s="25">
        <f>IFERROR(__xludf.DUMMYFUNCTION("""COMPUTED_VALUE"""),72.0)</f>
        <v>72</v>
      </c>
      <c r="U87" s="25">
        <f>IFERROR(__xludf.DUMMYFUNCTION("""COMPUTED_VALUE"""),9.0473161E7)</f>
        <v>90473161</v>
      </c>
      <c r="W87" s="32">
        <f>IFERROR(__xludf.DUMMYFUNCTION("""COMPUTED_VALUE"""),45793.66666666667)</f>
        <v>45793.66667</v>
      </c>
      <c r="X87" s="25">
        <f>IFERROR(__xludf.DUMMYFUNCTION("""COMPUTED_VALUE"""),121.97)</f>
        <v>121.97</v>
      </c>
      <c r="Y87" s="25">
        <f>IFERROR(__xludf.DUMMYFUNCTION("""COMPUTED_VALUE"""),136.35)</f>
        <v>136.35</v>
      </c>
      <c r="Z87" s="25">
        <f>IFERROR(__xludf.DUMMYFUNCTION("""COMPUTED_VALUE"""),120.28)</f>
        <v>120.28</v>
      </c>
      <c r="AA87" s="25">
        <f>IFERROR(__xludf.DUMMYFUNCTION("""COMPUTED_VALUE"""),135.4)</f>
        <v>135.4</v>
      </c>
      <c r="AB87" s="25">
        <f>IFERROR(__xludf.DUMMYFUNCTION("""COMPUTED_VALUE"""),1.289809294E9)</f>
        <v>1289809294</v>
      </c>
    </row>
    <row r="88">
      <c r="B88" s="32">
        <f>IFERROR(__xludf.DUMMYFUNCTION("""COMPUTED_VALUE"""),45800.66666666667)</f>
        <v>45800.66667</v>
      </c>
      <c r="C88" s="25">
        <f>IFERROR(__xludf.DUMMYFUNCTION("""COMPUTED_VALUE"""),22.74)</f>
        <v>22.74</v>
      </c>
      <c r="D88" s="25">
        <f>IFERROR(__xludf.DUMMYFUNCTION("""COMPUTED_VALUE"""),23.7)</f>
        <v>23.7</v>
      </c>
      <c r="E88" s="25">
        <f>IFERROR(__xludf.DUMMYFUNCTION("""COMPUTED_VALUE"""),22.64)</f>
        <v>22.64</v>
      </c>
      <c r="F88" s="25">
        <f>IFERROR(__xludf.DUMMYFUNCTION("""COMPUTED_VALUE"""),23.32)</f>
        <v>23.32</v>
      </c>
      <c r="G88" s="25">
        <f>IFERROR(__xludf.DUMMYFUNCTION("""COMPUTED_VALUE"""),1.68284236E8)</f>
        <v>168284236</v>
      </c>
      <c r="I88" s="32">
        <f>IFERROR(__xludf.DUMMYFUNCTION("""COMPUTED_VALUE"""),45800.66666666667)</f>
        <v>45800.66667</v>
      </c>
      <c r="J88" s="25">
        <f>IFERROR(__xludf.DUMMYFUNCTION("""COMPUTED_VALUE"""),21.18)</f>
        <v>21.18</v>
      </c>
      <c r="K88" s="25">
        <f>IFERROR(__xludf.DUMMYFUNCTION("""COMPUTED_VALUE"""),21.63)</f>
        <v>21.63</v>
      </c>
      <c r="L88" s="25">
        <f>IFERROR(__xludf.DUMMYFUNCTION("""COMPUTED_VALUE"""),19.94)</f>
        <v>19.94</v>
      </c>
      <c r="M88" s="25">
        <f>IFERROR(__xludf.DUMMYFUNCTION("""COMPUTED_VALUE"""),20.05)</f>
        <v>20.05</v>
      </c>
      <c r="N88" s="25">
        <f>IFERROR(__xludf.DUMMYFUNCTION("""COMPUTED_VALUE"""),2.45234923E8)</f>
        <v>245234923</v>
      </c>
      <c r="P88" s="32">
        <f>IFERROR(__xludf.DUMMYFUNCTION("""COMPUTED_VALUE"""),45800.66666666667)</f>
        <v>45800.66667</v>
      </c>
      <c r="Q88" s="25">
        <f>IFERROR(__xludf.DUMMYFUNCTION("""COMPUTED_VALUE"""),72.03)</f>
        <v>72.03</v>
      </c>
      <c r="R88" s="25">
        <f>IFERROR(__xludf.DUMMYFUNCTION("""COMPUTED_VALUE"""),72.17)</f>
        <v>72.17</v>
      </c>
      <c r="S88" s="25">
        <f>IFERROR(__xludf.DUMMYFUNCTION("""COMPUTED_VALUE"""),70.69)</f>
        <v>70.69</v>
      </c>
      <c r="T88" s="25">
        <f>IFERROR(__xludf.DUMMYFUNCTION("""COMPUTED_VALUE"""),71.77)</f>
        <v>71.77</v>
      </c>
      <c r="U88" s="25">
        <f>IFERROR(__xludf.DUMMYFUNCTION("""COMPUTED_VALUE"""),5.0357639E7)</f>
        <v>50357639</v>
      </c>
      <c r="W88" s="32">
        <f>IFERROR(__xludf.DUMMYFUNCTION("""COMPUTED_VALUE"""),45800.66666666667)</f>
        <v>45800.66667</v>
      </c>
      <c r="X88" s="25">
        <f>IFERROR(__xludf.DUMMYFUNCTION("""COMPUTED_VALUE"""),132.39)</f>
        <v>132.39</v>
      </c>
      <c r="Y88" s="25">
        <f>IFERROR(__xludf.DUMMYFUNCTION("""COMPUTED_VALUE"""),137.4)</f>
        <v>137.4</v>
      </c>
      <c r="Z88" s="25">
        <f>IFERROR(__xludf.DUMMYFUNCTION("""COMPUTED_VALUE"""),129.16)</f>
        <v>129.16</v>
      </c>
      <c r="AA88" s="25">
        <f>IFERROR(__xludf.DUMMYFUNCTION("""COMPUTED_VALUE"""),131.29)</f>
        <v>131.29</v>
      </c>
      <c r="AB88" s="25">
        <f>IFERROR(__xludf.DUMMYFUNCTION("""COMPUTED_VALUE"""),8.31295479E8)</f>
        <v>831295479</v>
      </c>
    </row>
    <row r="89">
      <c r="B89" s="32">
        <f>IFERROR(__xludf.DUMMYFUNCTION("""COMPUTED_VALUE"""),45807.66666666667)</f>
        <v>45807.66667</v>
      </c>
      <c r="C89" s="25">
        <f>IFERROR(__xludf.DUMMYFUNCTION("""COMPUTED_VALUE"""),23.55)</f>
        <v>23.55</v>
      </c>
      <c r="D89" s="25">
        <f>IFERROR(__xludf.DUMMYFUNCTION("""COMPUTED_VALUE"""),23.66)</f>
        <v>23.66</v>
      </c>
      <c r="E89" s="25">
        <f>IFERROR(__xludf.DUMMYFUNCTION("""COMPUTED_VALUE"""),23.11)</f>
        <v>23.11</v>
      </c>
      <c r="F89" s="25">
        <f>IFERROR(__xludf.DUMMYFUNCTION("""COMPUTED_VALUE"""),23.49)</f>
        <v>23.49</v>
      </c>
      <c r="G89" s="25">
        <f>IFERROR(__xludf.DUMMYFUNCTION("""COMPUTED_VALUE"""),1.55721211E8)</f>
        <v>155721211</v>
      </c>
      <c r="I89" s="32">
        <f>IFERROR(__xludf.DUMMYFUNCTION("""COMPUTED_VALUE"""),45807.66666666667)</f>
        <v>45807.66667</v>
      </c>
      <c r="J89" s="25">
        <f>IFERROR(__xludf.DUMMYFUNCTION("""COMPUTED_VALUE"""),20.44)</f>
        <v>20.44</v>
      </c>
      <c r="K89" s="25">
        <f>IFERROR(__xludf.DUMMYFUNCTION("""COMPUTED_VALUE"""),20.67)</f>
        <v>20.67</v>
      </c>
      <c r="L89" s="25">
        <f>IFERROR(__xludf.DUMMYFUNCTION("""COMPUTED_VALUE"""),19.31)</f>
        <v>19.31</v>
      </c>
      <c r="M89" s="25">
        <f>IFERROR(__xludf.DUMMYFUNCTION("""COMPUTED_VALUE"""),19.55)</f>
        <v>19.55</v>
      </c>
      <c r="N89" s="25">
        <f>IFERROR(__xludf.DUMMYFUNCTION("""COMPUTED_VALUE"""),2.96368144E8)</f>
        <v>296368144</v>
      </c>
      <c r="P89" s="32">
        <f>IFERROR(__xludf.DUMMYFUNCTION("""COMPUTED_VALUE"""),45807.66666666667)</f>
        <v>45807.66667</v>
      </c>
      <c r="Q89" s="25">
        <f>IFERROR(__xludf.DUMMYFUNCTION("""COMPUTED_VALUE"""),71.72)</f>
        <v>71.72</v>
      </c>
      <c r="R89" s="25">
        <f>IFERROR(__xludf.DUMMYFUNCTION("""COMPUTED_VALUE"""),72.47)</f>
        <v>72.47</v>
      </c>
      <c r="S89" s="25">
        <f>IFERROR(__xludf.DUMMYFUNCTION("""COMPUTED_VALUE"""),70.46)</f>
        <v>70.46</v>
      </c>
      <c r="T89" s="25">
        <f>IFERROR(__xludf.DUMMYFUNCTION("""COMPUTED_VALUE"""),72.1)</f>
        <v>72.1</v>
      </c>
      <c r="U89" s="25">
        <f>IFERROR(__xludf.DUMMYFUNCTION("""COMPUTED_VALUE"""),5.769064E7)</f>
        <v>57690640</v>
      </c>
      <c r="W89" s="32">
        <f>IFERROR(__xludf.DUMMYFUNCTION("""COMPUTED_VALUE"""),45807.66666666667)</f>
        <v>45807.66667</v>
      </c>
      <c r="X89" s="25">
        <f>IFERROR(__xludf.DUMMYFUNCTION("""COMPUTED_VALUE"""),134.15)</f>
        <v>134.15</v>
      </c>
      <c r="Y89" s="25">
        <f>IFERROR(__xludf.DUMMYFUNCTION("""COMPUTED_VALUE"""),143.49)</f>
        <v>143.49</v>
      </c>
      <c r="Z89" s="25">
        <f>IFERROR(__xludf.DUMMYFUNCTION("""COMPUTED_VALUE"""),132.92)</f>
        <v>132.92</v>
      </c>
      <c r="AA89" s="25">
        <f>IFERROR(__xludf.DUMMYFUNCTION("""COMPUTED_VALUE"""),135.13)</f>
        <v>135.13</v>
      </c>
      <c r="AB89" s="25">
        <f>IFERROR(__xludf.DUMMYFUNCTION("""COMPUTED_VALUE"""),1.200760777E9)</f>
        <v>1200760777</v>
      </c>
    </row>
    <row r="90">
      <c r="B90" s="32">
        <f>IFERROR(__xludf.DUMMYFUNCTION("""COMPUTED_VALUE"""),45814.66666666667)</f>
        <v>45814.66667</v>
      </c>
      <c r="C90" s="25">
        <f>IFERROR(__xludf.DUMMYFUNCTION("""COMPUTED_VALUE"""),23.54)</f>
        <v>23.54</v>
      </c>
      <c r="D90" s="25">
        <f>IFERROR(__xludf.DUMMYFUNCTION("""COMPUTED_VALUE"""),23.58)</f>
        <v>23.58</v>
      </c>
      <c r="E90" s="25">
        <f>IFERROR(__xludf.DUMMYFUNCTION("""COMPUTED_VALUE"""),23.06)</f>
        <v>23.06</v>
      </c>
      <c r="F90" s="25">
        <f>IFERROR(__xludf.DUMMYFUNCTION("""COMPUTED_VALUE"""),23.35)</f>
        <v>23.35</v>
      </c>
      <c r="G90" s="25">
        <f>IFERROR(__xludf.DUMMYFUNCTION("""COMPUTED_VALUE"""),1.56457264E8)</f>
        <v>156457264</v>
      </c>
      <c r="I90" s="32">
        <f>IFERROR(__xludf.DUMMYFUNCTION("""COMPUTED_VALUE"""),45814.66666666667)</f>
        <v>45814.66667</v>
      </c>
      <c r="J90" s="25">
        <f>IFERROR(__xludf.DUMMYFUNCTION("""COMPUTED_VALUE"""),19.48)</f>
        <v>19.48</v>
      </c>
      <c r="K90" s="25">
        <f>IFERROR(__xludf.DUMMYFUNCTION("""COMPUTED_VALUE"""),20.55)</f>
        <v>20.55</v>
      </c>
      <c r="L90" s="25">
        <f>IFERROR(__xludf.DUMMYFUNCTION("""COMPUTED_VALUE"""),19.37)</f>
        <v>19.37</v>
      </c>
      <c r="M90" s="25">
        <f>IFERROR(__xludf.DUMMYFUNCTION("""COMPUTED_VALUE"""),20.06)</f>
        <v>20.06</v>
      </c>
      <c r="N90" s="25">
        <f>IFERROR(__xludf.DUMMYFUNCTION("""COMPUTED_VALUE"""),3.62122339E8)</f>
        <v>362122339</v>
      </c>
      <c r="P90" s="32">
        <f>IFERROR(__xludf.DUMMYFUNCTION("""COMPUTED_VALUE"""),45814.66666666667)</f>
        <v>45814.66667</v>
      </c>
      <c r="Q90" s="25">
        <f>IFERROR(__xludf.DUMMYFUNCTION("""COMPUTED_VALUE"""),72.03)</f>
        <v>72.03</v>
      </c>
      <c r="R90" s="25">
        <f>IFERROR(__xludf.DUMMYFUNCTION("""COMPUTED_VALUE"""),72.04)</f>
        <v>72.04</v>
      </c>
      <c r="S90" s="25">
        <f>IFERROR(__xludf.DUMMYFUNCTION("""COMPUTED_VALUE"""),70.47)</f>
        <v>70.47</v>
      </c>
      <c r="T90" s="25">
        <f>IFERROR(__xludf.DUMMYFUNCTION("""COMPUTED_VALUE"""),71.35)</f>
        <v>71.35</v>
      </c>
      <c r="U90" s="25">
        <f>IFERROR(__xludf.DUMMYFUNCTION("""COMPUTED_VALUE"""),6.696805E7)</f>
        <v>66968050</v>
      </c>
      <c r="W90" s="32">
        <f>IFERROR(__xludf.DUMMYFUNCTION("""COMPUTED_VALUE"""),45814.66666666667)</f>
        <v>45814.66667</v>
      </c>
      <c r="X90" s="25">
        <f>IFERROR(__xludf.DUMMYFUNCTION("""COMPUTED_VALUE"""),135.49)</f>
        <v>135.49</v>
      </c>
      <c r="Y90" s="25">
        <f>IFERROR(__xludf.DUMMYFUNCTION("""COMPUTED_VALUE"""),144.0)</f>
        <v>144</v>
      </c>
      <c r="Z90" s="25">
        <f>IFERROR(__xludf.DUMMYFUNCTION("""COMPUTED_VALUE"""),135.4)</f>
        <v>135.4</v>
      </c>
      <c r="AA90" s="25">
        <f>IFERROR(__xludf.DUMMYFUNCTION("""COMPUTED_VALUE"""),141.72)</f>
        <v>141.72</v>
      </c>
      <c r="AB90" s="25">
        <f>IFERROR(__xludf.DUMMYFUNCTION("""COMPUTED_VALUE"""),9.7675963E8)</f>
        <v>976759630</v>
      </c>
    </row>
    <row r="91">
      <c r="B91" s="32">
        <f>IFERROR(__xludf.DUMMYFUNCTION("""COMPUTED_VALUE"""),45821.66666666667)</f>
        <v>45821.66667</v>
      </c>
      <c r="C91" s="25">
        <f>IFERROR(__xludf.DUMMYFUNCTION("""COMPUTED_VALUE"""),23.44)</f>
        <v>23.44</v>
      </c>
      <c r="D91" s="25">
        <f>IFERROR(__xludf.DUMMYFUNCTION("""COMPUTED_VALUE"""),24.95)</f>
        <v>24.95</v>
      </c>
      <c r="E91" s="25">
        <f>IFERROR(__xludf.DUMMYFUNCTION("""COMPUTED_VALUE"""),23.42)</f>
        <v>23.42</v>
      </c>
      <c r="F91" s="25">
        <f>IFERROR(__xludf.DUMMYFUNCTION("""COMPUTED_VALUE"""),24.54)</f>
        <v>24.54</v>
      </c>
      <c r="G91" s="25">
        <f>IFERROR(__xludf.DUMMYFUNCTION("""COMPUTED_VALUE"""),2.10374299E8)</f>
        <v>210374299</v>
      </c>
      <c r="I91" s="32">
        <f>IFERROR(__xludf.DUMMYFUNCTION("""COMPUTED_VALUE"""),45821.66666666667)</f>
        <v>45821.66667</v>
      </c>
      <c r="J91" s="25">
        <f>IFERROR(__xludf.DUMMYFUNCTION("""COMPUTED_VALUE"""),20.22)</f>
        <v>20.22</v>
      </c>
      <c r="K91" s="25">
        <f>IFERROR(__xludf.DUMMYFUNCTION("""COMPUTED_VALUE"""),22.44)</f>
        <v>22.44</v>
      </c>
      <c r="L91" s="25">
        <f>IFERROR(__xludf.DUMMYFUNCTION("""COMPUTED_VALUE"""),20.1)</f>
        <v>20.1</v>
      </c>
      <c r="M91" s="25">
        <f>IFERROR(__xludf.DUMMYFUNCTION("""COMPUTED_VALUE"""),20.14)</f>
        <v>20.14</v>
      </c>
      <c r="N91" s="25">
        <f>IFERROR(__xludf.DUMMYFUNCTION("""COMPUTED_VALUE"""),5.76967177E8)</f>
        <v>576967177</v>
      </c>
      <c r="P91" s="32">
        <f>IFERROR(__xludf.DUMMYFUNCTION("""COMPUTED_VALUE"""),45821.66666666667)</f>
        <v>45821.66667</v>
      </c>
      <c r="Q91" s="25">
        <f>IFERROR(__xludf.DUMMYFUNCTION("""COMPUTED_VALUE"""),71.35)</f>
        <v>71.35</v>
      </c>
      <c r="R91" s="25">
        <f>IFERROR(__xludf.DUMMYFUNCTION("""COMPUTED_VALUE"""),72.69)</f>
        <v>72.69</v>
      </c>
      <c r="S91" s="25">
        <f>IFERROR(__xludf.DUMMYFUNCTION("""COMPUTED_VALUE"""),70.73)</f>
        <v>70.73</v>
      </c>
      <c r="T91" s="25">
        <f>IFERROR(__xludf.DUMMYFUNCTION("""COMPUTED_VALUE"""),71.02)</f>
        <v>71.02</v>
      </c>
      <c r="U91" s="25">
        <f>IFERROR(__xludf.DUMMYFUNCTION("""COMPUTED_VALUE"""),6.7538894E7)</f>
        <v>67538894</v>
      </c>
      <c r="W91" s="32">
        <f>IFERROR(__xludf.DUMMYFUNCTION("""COMPUTED_VALUE"""),45821.66666666667)</f>
        <v>45821.66667</v>
      </c>
      <c r="X91" s="25">
        <f>IFERROR(__xludf.DUMMYFUNCTION("""COMPUTED_VALUE"""),143.19)</f>
        <v>143.19</v>
      </c>
      <c r="Y91" s="25">
        <f>IFERROR(__xludf.DUMMYFUNCTION("""COMPUTED_VALUE"""),145.0)</f>
        <v>145</v>
      </c>
      <c r="Z91" s="25">
        <f>IFERROR(__xludf.DUMMYFUNCTION("""COMPUTED_VALUE"""),140.85)</f>
        <v>140.85</v>
      </c>
      <c r="AA91" s="25">
        <f>IFERROR(__xludf.DUMMYFUNCTION("""COMPUTED_VALUE"""),141.97)</f>
        <v>141.97</v>
      </c>
      <c r="AB91" s="25">
        <f>IFERROR(__xludf.DUMMYFUNCTION("""COMPUTED_VALUE"""),8.51875991E8)</f>
        <v>851875991</v>
      </c>
    </row>
    <row r="92">
      <c r="B92" s="32">
        <f>IFERROR(__xludf.DUMMYFUNCTION("""COMPUTED_VALUE"""),45828.66666666667)</f>
        <v>45828.66667</v>
      </c>
      <c r="C92" s="25">
        <f>IFERROR(__xludf.DUMMYFUNCTION("""COMPUTED_VALUE"""),24.5)</f>
        <v>24.5</v>
      </c>
      <c r="D92" s="25">
        <f>IFERROR(__xludf.DUMMYFUNCTION("""COMPUTED_VALUE"""),24.59)</f>
        <v>24.59</v>
      </c>
      <c r="E92" s="25">
        <f>IFERROR(__xludf.DUMMYFUNCTION("""COMPUTED_VALUE"""),23.77)</f>
        <v>23.77</v>
      </c>
      <c r="F92" s="25">
        <f>IFERROR(__xludf.DUMMYFUNCTION("""COMPUTED_VALUE"""),23.97)</f>
        <v>23.97</v>
      </c>
      <c r="G92" s="25">
        <f>IFERROR(__xludf.DUMMYFUNCTION("""COMPUTED_VALUE"""),1.75685257E8)</f>
        <v>175685257</v>
      </c>
      <c r="I92" s="32">
        <f>IFERROR(__xludf.DUMMYFUNCTION("""COMPUTED_VALUE"""),45828.66666666667)</f>
        <v>45828.66667</v>
      </c>
      <c r="J92" s="25">
        <f>IFERROR(__xludf.DUMMYFUNCTION("""COMPUTED_VALUE"""),20.41)</f>
        <v>20.41</v>
      </c>
      <c r="K92" s="25">
        <f>IFERROR(__xludf.DUMMYFUNCTION("""COMPUTED_VALUE"""),21.89)</f>
        <v>21.89</v>
      </c>
      <c r="L92" s="25">
        <f>IFERROR(__xludf.DUMMYFUNCTION("""COMPUTED_VALUE"""),20.3)</f>
        <v>20.3</v>
      </c>
      <c r="M92" s="25">
        <f>IFERROR(__xludf.DUMMYFUNCTION("""COMPUTED_VALUE"""),21.08)</f>
        <v>21.08</v>
      </c>
      <c r="N92" s="25">
        <f>IFERROR(__xludf.DUMMYFUNCTION("""COMPUTED_VALUE"""),4.01930665E8)</f>
        <v>401930665</v>
      </c>
      <c r="P92" s="32">
        <f>IFERROR(__xludf.DUMMYFUNCTION("""COMPUTED_VALUE"""),45828.66666666667)</f>
        <v>45828.66667</v>
      </c>
      <c r="Q92" s="25">
        <f>IFERROR(__xludf.DUMMYFUNCTION("""COMPUTED_VALUE"""),71.2)</f>
        <v>71.2</v>
      </c>
      <c r="R92" s="25">
        <f>IFERROR(__xludf.DUMMYFUNCTION("""COMPUTED_VALUE"""),71.62)</f>
        <v>71.62</v>
      </c>
      <c r="S92" s="25">
        <f>IFERROR(__xludf.DUMMYFUNCTION("""COMPUTED_VALUE"""),68.78)</f>
        <v>68.78</v>
      </c>
      <c r="T92" s="25">
        <f>IFERROR(__xludf.DUMMYFUNCTION("""COMPUTED_VALUE"""),68.84)</f>
        <v>68.84</v>
      </c>
      <c r="U92" s="25">
        <f>IFERROR(__xludf.DUMMYFUNCTION("""COMPUTED_VALUE"""),8.7569919E7)</f>
        <v>87569919</v>
      </c>
      <c r="W92" s="32">
        <f>IFERROR(__xludf.DUMMYFUNCTION("""COMPUTED_VALUE"""),45828.66666666667)</f>
        <v>45828.66667</v>
      </c>
      <c r="X92" s="25">
        <f>IFERROR(__xludf.DUMMYFUNCTION("""COMPUTED_VALUE"""),143.35)</f>
        <v>143.35</v>
      </c>
      <c r="Y92" s="25">
        <f>IFERROR(__xludf.DUMMYFUNCTION("""COMPUTED_VALUE"""),146.2)</f>
        <v>146.2</v>
      </c>
      <c r="Z92" s="25">
        <f>IFERROR(__xludf.DUMMYFUNCTION("""COMPUTED_VALUE"""),142.65)</f>
        <v>142.65</v>
      </c>
      <c r="AA92" s="25">
        <f>IFERROR(__xludf.DUMMYFUNCTION("""COMPUTED_VALUE"""),143.85)</f>
        <v>143.85</v>
      </c>
      <c r="AB92" s="25">
        <f>IFERROR(__xludf.DUMMYFUNCTION("""COMPUTED_VALUE"""),7.26691944E8)</f>
        <v>726691944</v>
      </c>
    </row>
    <row r="93">
      <c r="B93" s="32">
        <f>IFERROR(__xludf.DUMMYFUNCTION("""COMPUTED_VALUE"""),45835.66666666667)</f>
        <v>45835.66667</v>
      </c>
      <c r="C93" s="25">
        <f>IFERROR(__xludf.DUMMYFUNCTION("""COMPUTED_VALUE"""),23.87)</f>
        <v>23.87</v>
      </c>
      <c r="D93" s="25">
        <f>IFERROR(__xludf.DUMMYFUNCTION("""COMPUTED_VALUE"""),24.43)</f>
        <v>24.43</v>
      </c>
      <c r="E93" s="25">
        <f>IFERROR(__xludf.DUMMYFUNCTION("""COMPUTED_VALUE"""),23.77)</f>
        <v>23.77</v>
      </c>
      <c r="F93" s="25">
        <f>IFERROR(__xludf.DUMMYFUNCTION("""COMPUTED_VALUE"""),24.19)</f>
        <v>24.19</v>
      </c>
      <c r="G93" s="25">
        <f>IFERROR(__xludf.DUMMYFUNCTION("""COMPUTED_VALUE"""),1.6333065E8)</f>
        <v>163330650</v>
      </c>
      <c r="I93" s="32">
        <f>IFERROR(__xludf.DUMMYFUNCTION("""COMPUTED_VALUE"""),45835.66666666667)</f>
        <v>45835.66667</v>
      </c>
      <c r="J93" s="25">
        <f>IFERROR(__xludf.DUMMYFUNCTION("""COMPUTED_VALUE"""),21.07)</f>
        <v>21.07</v>
      </c>
      <c r="K93" s="25">
        <f>IFERROR(__xludf.DUMMYFUNCTION("""COMPUTED_VALUE"""),23.38)</f>
        <v>23.38</v>
      </c>
      <c r="L93" s="25">
        <f>IFERROR(__xludf.DUMMYFUNCTION("""COMPUTED_VALUE"""),20.73)</f>
        <v>20.73</v>
      </c>
      <c r="M93" s="25">
        <f>IFERROR(__xludf.DUMMYFUNCTION("""COMPUTED_VALUE"""),22.69)</f>
        <v>22.69</v>
      </c>
      <c r="N93" s="25">
        <f>IFERROR(__xludf.DUMMYFUNCTION("""COMPUTED_VALUE"""),4.35576563E8)</f>
        <v>435576563</v>
      </c>
      <c r="P93" s="32">
        <f>IFERROR(__xludf.DUMMYFUNCTION("""COMPUTED_VALUE"""),45835.66666666667)</f>
        <v>45835.66667</v>
      </c>
      <c r="Q93" s="25">
        <f>IFERROR(__xludf.DUMMYFUNCTION("""COMPUTED_VALUE"""),69.14)</f>
        <v>69.14</v>
      </c>
      <c r="R93" s="25">
        <f>IFERROR(__xludf.DUMMYFUNCTION("""COMPUTED_VALUE"""),70.56)</f>
        <v>70.56</v>
      </c>
      <c r="S93" s="25">
        <f>IFERROR(__xludf.DUMMYFUNCTION("""COMPUTED_VALUE"""),68.97)</f>
        <v>68.97</v>
      </c>
      <c r="T93" s="25">
        <f>IFERROR(__xludf.DUMMYFUNCTION("""COMPUTED_VALUE"""),70.33)</f>
        <v>70.33</v>
      </c>
      <c r="U93" s="25">
        <f>IFERROR(__xludf.DUMMYFUNCTION("""COMPUTED_VALUE"""),8.7504012E7)</f>
        <v>87504012</v>
      </c>
      <c r="W93" s="32">
        <f>IFERROR(__xludf.DUMMYFUNCTION("""COMPUTED_VALUE"""),45835.66666666667)</f>
        <v>45835.66667</v>
      </c>
      <c r="X93" s="25">
        <f>IFERROR(__xludf.DUMMYFUNCTION("""COMPUTED_VALUE"""),142.5)</f>
        <v>142.5</v>
      </c>
      <c r="Y93" s="25">
        <f>IFERROR(__xludf.DUMMYFUNCTION("""COMPUTED_VALUE"""),158.71)</f>
        <v>158.71</v>
      </c>
      <c r="Z93" s="25">
        <f>IFERROR(__xludf.DUMMYFUNCTION("""COMPUTED_VALUE"""),142.03)</f>
        <v>142.03</v>
      </c>
      <c r="AA93" s="25">
        <f>IFERROR(__xludf.DUMMYFUNCTION("""COMPUTED_VALUE"""),157.75)</f>
        <v>157.75</v>
      </c>
      <c r="AB93" s="25">
        <f>IFERROR(__xludf.DUMMYFUNCTION("""COMPUTED_VALUE"""),1.072401818E9)</f>
        <v>1072401818</v>
      </c>
    </row>
    <row r="94">
      <c r="B94" s="32">
        <f>IFERROR(__xludf.DUMMYFUNCTION("""COMPUTED_VALUE"""),45841.54166666667)</f>
        <v>45841.54167</v>
      </c>
      <c r="C94" s="25">
        <f>IFERROR(__xludf.DUMMYFUNCTION("""COMPUTED_VALUE"""),24.21)</f>
        <v>24.21</v>
      </c>
      <c r="D94" s="25">
        <f>IFERROR(__xludf.DUMMYFUNCTION("""COMPUTED_VALUE"""),25.52)</f>
        <v>25.52</v>
      </c>
      <c r="E94" s="25">
        <f>IFERROR(__xludf.DUMMYFUNCTION("""COMPUTED_VALUE"""),24.12)</f>
        <v>24.12</v>
      </c>
      <c r="F94" s="25">
        <f>IFERROR(__xludf.DUMMYFUNCTION("""COMPUTED_VALUE"""),25.38)</f>
        <v>25.38</v>
      </c>
      <c r="G94" s="25">
        <f>IFERROR(__xludf.DUMMYFUNCTION("""COMPUTED_VALUE"""),1.6786744E8)</f>
        <v>167867440</v>
      </c>
      <c r="I94" s="32">
        <f>IFERROR(__xludf.DUMMYFUNCTION("""COMPUTED_VALUE"""),45841.54513888889)</f>
        <v>45841.54514</v>
      </c>
      <c r="J94" s="25">
        <f>IFERROR(__xludf.DUMMYFUNCTION("""COMPUTED_VALUE"""),22.97)</f>
        <v>22.97</v>
      </c>
      <c r="K94" s="25">
        <f>IFERROR(__xludf.DUMMYFUNCTION("""COMPUTED_VALUE"""),23.16)</f>
        <v>23.16</v>
      </c>
      <c r="L94" s="25">
        <f>IFERROR(__xludf.DUMMYFUNCTION("""COMPUTED_VALUE"""),21.52)</f>
        <v>21.52</v>
      </c>
      <c r="M94" s="25">
        <f>IFERROR(__xludf.DUMMYFUNCTION("""COMPUTED_VALUE"""),22.49)</f>
        <v>22.49</v>
      </c>
      <c r="N94" s="25">
        <f>IFERROR(__xludf.DUMMYFUNCTION("""COMPUTED_VALUE"""),3.55618525E8)</f>
        <v>355618525</v>
      </c>
      <c r="P94" s="32">
        <f>IFERROR(__xludf.DUMMYFUNCTION("""COMPUTED_VALUE"""),45841.54166666667)</f>
        <v>45841.54167</v>
      </c>
      <c r="Q94" s="25">
        <f>IFERROR(__xludf.DUMMYFUNCTION("""COMPUTED_VALUE"""),70.13)</f>
        <v>70.13</v>
      </c>
      <c r="R94" s="25">
        <f>IFERROR(__xludf.DUMMYFUNCTION("""COMPUTED_VALUE"""),72.45)</f>
        <v>72.45</v>
      </c>
      <c r="S94" s="25">
        <f>IFERROR(__xludf.DUMMYFUNCTION("""COMPUTED_VALUE"""),70.09)</f>
        <v>70.09</v>
      </c>
      <c r="T94" s="25">
        <f>IFERROR(__xludf.DUMMYFUNCTION("""COMPUTED_VALUE"""),71.35)</f>
        <v>71.35</v>
      </c>
      <c r="U94" s="25">
        <f>IFERROR(__xludf.DUMMYFUNCTION("""COMPUTED_VALUE"""),5.9648938E7)</f>
        <v>59648938</v>
      </c>
      <c r="W94" s="32">
        <f>IFERROR(__xludf.DUMMYFUNCTION("""COMPUTED_VALUE"""),45841.54513888889)</f>
        <v>45841.54514</v>
      </c>
      <c r="X94" s="25">
        <f>IFERROR(__xludf.DUMMYFUNCTION("""COMPUTED_VALUE"""),158.4)</f>
        <v>158.4</v>
      </c>
      <c r="Y94" s="25">
        <f>IFERROR(__xludf.DUMMYFUNCTION("""COMPUTED_VALUE"""),160.98)</f>
        <v>160.98</v>
      </c>
      <c r="Z94" s="25">
        <f>IFERROR(__xludf.DUMMYFUNCTION("""COMPUTED_VALUE"""),151.49)</f>
        <v>151.49</v>
      </c>
      <c r="AA94" s="25">
        <f>IFERROR(__xludf.DUMMYFUNCTION("""COMPUTED_VALUE"""),159.34)</f>
        <v>159.34</v>
      </c>
      <c r="AB94" s="25">
        <f>IFERROR(__xludf.DUMMYFUNCTION("""COMPUTED_VALUE"""),7.22664103E8)</f>
        <v>722664103</v>
      </c>
    </row>
    <row r="95">
      <c r="B95" s="32">
        <f>IFERROR(__xludf.DUMMYFUNCTION("""COMPUTED_VALUE"""),45849.66666666667)</f>
        <v>45849.66667</v>
      </c>
      <c r="C95" s="25">
        <f>IFERROR(__xludf.DUMMYFUNCTION("""COMPUTED_VALUE"""),25.36)</f>
        <v>25.36</v>
      </c>
      <c r="D95" s="25">
        <f>IFERROR(__xludf.DUMMYFUNCTION("""COMPUTED_VALUE"""),26.05)</f>
        <v>26.05</v>
      </c>
      <c r="E95" s="25">
        <f>IFERROR(__xludf.DUMMYFUNCTION("""COMPUTED_VALUE"""),25.14)</f>
        <v>25.14</v>
      </c>
      <c r="F95" s="25">
        <f>IFERROR(__xludf.DUMMYFUNCTION("""COMPUTED_VALUE"""),25.65)</f>
        <v>25.65</v>
      </c>
      <c r="G95" s="25">
        <f>IFERROR(__xludf.DUMMYFUNCTION("""COMPUTED_VALUE"""),1.98907602E8)</f>
        <v>198907602</v>
      </c>
      <c r="I95" s="32">
        <f>IFERROR(__xludf.DUMMYFUNCTION("""COMPUTED_VALUE"""),45849.66666666667)</f>
        <v>45849.66667</v>
      </c>
      <c r="J95" s="25">
        <f>IFERROR(__xludf.DUMMYFUNCTION("""COMPUTED_VALUE"""),22.21)</f>
        <v>22.21</v>
      </c>
      <c r="K95" s="25">
        <f>IFERROR(__xludf.DUMMYFUNCTION("""COMPUTED_VALUE"""),24.04)</f>
        <v>24.04</v>
      </c>
      <c r="L95" s="25">
        <f>IFERROR(__xludf.DUMMYFUNCTION("""COMPUTED_VALUE"""),21.86)</f>
        <v>21.86</v>
      </c>
      <c r="M95" s="25">
        <f>IFERROR(__xludf.DUMMYFUNCTION("""COMPUTED_VALUE"""),23.43)</f>
        <v>23.43</v>
      </c>
      <c r="N95" s="25">
        <f>IFERROR(__xludf.DUMMYFUNCTION("""COMPUTED_VALUE"""),3.74486185E8)</f>
        <v>374486185</v>
      </c>
      <c r="P95" s="32">
        <f>IFERROR(__xludf.DUMMYFUNCTION("""COMPUTED_VALUE"""),45849.66666666667)</f>
        <v>45849.66667</v>
      </c>
      <c r="Q95" s="25">
        <f>IFERROR(__xludf.DUMMYFUNCTION("""COMPUTED_VALUE"""),71.37)</f>
        <v>71.37</v>
      </c>
      <c r="R95" s="25">
        <f>IFERROR(__xludf.DUMMYFUNCTION("""COMPUTED_VALUE"""),71.37)</f>
        <v>71.37</v>
      </c>
      <c r="S95" s="25">
        <f>IFERROR(__xludf.DUMMYFUNCTION("""COMPUTED_VALUE"""),68.97)</f>
        <v>68.97</v>
      </c>
      <c r="T95" s="25">
        <f>IFERROR(__xludf.DUMMYFUNCTION("""COMPUTED_VALUE"""),69.87)</f>
        <v>69.87</v>
      </c>
      <c r="U95" s="25">
        <f>IFERROR(__xludf.DUMMYFUNCTION("""COMPUTED_VALUE"""),9.5336031E7)</f>
        <v>95336031</v>
      </c>
      <c r="W95" s="32">
        <f>IFERROR(__xludf.DUMMYFUNCTION("""COMPUTED_VALUE"""),45849.66666666667)</f>
        <v>45849.66667</v>
      </c>
      <c r="X95" s="25">
        <f>IFERROR(__xludf.DUMMYFUNCTION("""COMPUTED_VALUE"""),158.2)</f>
        <v>158.2</v>
      </c>
      <c r="Y95" s="25">
        <f>IFERROR(__xludf.DUMMYFUNCTION("""COMPUTED_VALUE"""),167.89)</f>
        <v>167.89</v>
      </c>
      <c r="Z95" s="25">
        <f>IFERROR(__xludf.DUMMYFUNCTION("""COMPUTED_VALUE"""),157.34)</f>
        <v>157.34</v>
      </c>
      <c r="AA95" s="25">
        <f>IFERROR(__xludf.DUMMYFUNCTION("""COMPUTED_VALUE"""),164.92)</f>
        <v>164.92</v>
      </c>
      <c r="AB95" s="25">
        <f>IFERROR(__xludf.DUMMYFUNCTION("""COMPUTED_VALUE"""),8.23265781E8)</f>
        <v>823265781</v>
      </c>
    </row>
    <row r="96">
      <c r="B96" s="32">
        <f>IFERROR(__xludf.DUMMYFUNCTION("""COMPUTED_VALUE"""),45856.66666666667)</f>
        <v>45856.66667</v>
      </c>
      <c r="C96" s="25">
        <f>IFERROR(__xludf.DUMMYFUNCTION("""COMPUTED_VALUE"""),25.58)</f>
        <v>25.58</v>
      </c>
      <c r="D96" s="25">
        <f>IFERROR(__xludf.DUMMYFUNCTION("""COMPUTED_VALUE"""),25.63)</f>
        <v>25.63</v>
      </c>
      <c r="E96" s="25">
        <f>IFERROR(__xludf.DUMMYFUNCTION("""COMPUTED_VALUE"""),24.39)</f>
        <v>24.39</v>
      </c>
      <c r="F96" s="25">
        <f>IFERROR(__xludf.DUMMYFUNCTION("""COMPUTED_VALUE"""),24.47)</f>
        <v>24.47</v>
      </c>
      <c r="G96" s="25">
        <f>IFERROR(__xludf.DUMMYFUNCTION("""COMPUTED_VALUE"""),2.08297514E8)</f>
        <v>208297514</v>
      </c>
      <c r="I96" s="32">
        <f>IFERROR(__xludf.DUMMYFUNCTION("""COMPUTED_VALUE"""),45856.66666666667)</f>
        <v>45856.66667</v>
      </c>
      <c r="J96" s="25">
        <f>IFERROR(__xludf.DUMMYFUNCTION("""COMPUTED_VALUE"""),23.24)</f>
        <v>23.24</v>
      </c>
      <c r="K96" s="25">
        <f>IFERROR(__xludf.DUMMYFUNCTION("""COMPUTED_VALUE"""),23.78)</f>
        <v>23.78</v>
      </c>
      <c r="L96" s="25">
        <f>IFERROR(__xludf.DUMMYFUNCTION("""COMPUTED_VALUE"""),22.25)</f>
        <v>22.25</v>
      </c>
      <c r="M96" s="25">
        <f>IFERROR(__xludf.DUMMYFUNCTION("""COMPUTED_VALUE"""),23.1)</f>
        <v>23.1</v>
      </c>
      <c r="N96" s="25">
        <f>IFERROR(__xludf.DUMMYFUNCTION("""COMPUTED_VALUE"""),2.82965395E8)</f>
        <v>282965395</v>
      </c>
      <c r="P96" s="32">
        <f>IFERROR(__xludf.DUMMYFUNCTION("""COMPUTED_VALUE"""),45856.66666666667)</f>
        <v>45856.66667</v>
      </c>
      <c r="Q96" s="25">
        <f>IFERROR(__xludf.DUMMYFUNCTION("""COMPUTED_VALUE"""),69.8)</f>
        <v>69.8</v>
      </c>
      <c r="R96" s="25">
        <f>IFERROR(__xludf.DUMMYFUNCTION("""COMPUTED_VALUE"""),70.7)</f>
        <v>70.7</v>
      </c>
      <c r="S96" s="25">
        <f>IFERROR(__xludf.DUMMYFUNCTION("""COMPUTED_VALUE"""),68.79)</f>
        <v>68.79</v>
      </c>
      <c r="T96" s="25">
        <f>IFERROR(__xludf.DUMMYFUNCTION("""COMPUTED_VALUE"""),69.85)</f>
        <v>69.85</v>
      </c>
      <c r="U96" s="25">
        <f>IFERROR(__xludf.DUMMYFUNCTION("""COMPUTED_VALUE"""),7.5193953E7)</f>
        <v>75193953</v>
      </c>
      <c r="W96" s="32">
        <f>IFERROR(__xludf.DUMMYFUNCTION("""COMPUTED_VALUE"""),45856.66666666667)</f>
        <v>45856.66667</v>
      </c>
      <c r="X96" s="25">
        <f>IFERROR(__xludf.DUMMYFUNCTION("""COMPUTED_VALUE"""),165.37)</f>
        <v>165.37</v>
      </c>
      <c r="Y96" s="25">
        <f>IFERROR(__xludf.DUMMYFUNCTION("""COMPUTED_VALUE"""),174.25)</f>
        <v>174.25</v>
      </c>
      <c r="Z96" s="25">
        <f>IFERROR(__xludf.DUMMYFUNCTION("""COMPUTED_VALUE"""),162.02)</f>
        <v>162.02</v>
      </c>
      <c r="AA96" s="25">
        <f>IFERROR(__xludf.DUMMYFUNCTION("""COMPUTED_VALUE"""),172.41)</f>
        <v>172.41</v>
      </c>
      <c r="AB96" s="25">
        <f>IFERROR(__xludf.DUMMYFUNCTION("""COMPUTED_VALUE"""),8.33732148E8)</f>
        <v>833732148</v>
      </c>
    </row>
    <row r="97">
      <c r="B97" s="32">
        <f>IFERROR(__xludf.DUMMYFUNCTION("""COMPUTED_VALUE"""),45863.66666666667)</f>
        <v>45863.66667</v>
      </c>
      <c r="C97" s="25">
        <f>IFERROR(__xludf.DUMMYFUNCTION("""COMPUTED_VALUE"""),24.59)</f>
        <v>24.59</v>
      </c>
      <c r="D97" s="25">
        <f>IFERROR(__xludf.DUMMYFUNCTION("""COMPUTED_VALUE"""),25.54)</f>
        <v>25.54</v>
      </c>
      <c r="E97" s="25">
        <f>IFERROR(__xludf.DUMMYFUNCTION("""COMPUTED_VALUE"""),24.26)</f>
        <v>24.26</v>
      </c>
      <c r="F97" s="25">
        <f>IFERROR(__xludf.DUMMYFUNCTION("""COMPUTED_VALUE"""),24.79)</f>
        <v>24.79</v>
      </c>
      <c r="G97" s="25">
        <f>IFERROR(__xludf.DUMMYFUNCTION("""COMPUTED_VALUE"""),1.85144065E8)</f>
        <v>185144065</v>
      </c>
      <c r="I97" s="32">
        <f>IFERROR(__xludf.DUMMYFUNCTION("""COMPUTED_VALUE"""),45863.66666666667)</f>
        <v>45863.66667</v>
      </c>
      <c r="J97" s="25">
        <f>IFERROR(__xludf.DUMMYFUNCTION("""COMPUTED_VALUE"""),23.4)</f>
        <v>23.4</v>
      </c>
      <c r="K97" s="25">
        <f>IFERROR(__xludf.DUMMYFUNCTION("""COMPUTED_VALUE"""),23.83)</f>
        <v>23.83</v>
      </c>
      <c r="L97" s="25">
        <f>IFERROR(__xludf.DUMMYFUNCTION("""COMPUTED_VALUE"""),20.36)</f>
        <v>20.36</v>
      </c>
      <c r="M97" s="25">
        <f>IFERROR(__xludf.DUMMYFUNCTION("""COMPUTED_VALUE"""),20.7)</f>
        <v>20.7</v>
      </c>
      <c r="N97" s="25">
        <f>IFERROR(__xludf.DUMMYFUNCTION("""COMPUTED_VALUE"""),5.61380554E8)</f>
        <v>561380554</v>
      </c>
      <c r="P97" s="32">
        <f>IFERROR(__xludf.DUMMYFUNCTION("""COMPUTED_VALUE"""),45863.66666666667)</f>
        <v>45863.66667</v>
      </c>
      <c r="Q97" s="25">
        <f>IFERROR(__xludf.DUMMYFUNCTION("""COMPUTED_VALUE"""),70.19)</f>
        <v>70.19</v>
      </c>
      <c r="R97" s="25">
        <f>IFERROR(__xludf.DUMMYFUNCTION("""COMPUTED_VALUE"""),70.62)</f>
        <v>70.62</v>
      </c>
      <c r="S97" s="25">
        <f>IFERROR(__xludf.DUMMYFUNCTION("""COMPUTED_VALUE"""),68.6)</f>
        <v>68.6</v>
      </c>
      <c r="T97" s="25">
        <f>IFERROR(__xludf.DUMMYFUNCTION("""COMPUTED_VALUE"""),69.17)</f>
        <v>69.17</v>
      </c>
      <c r="U97" s="25">
        <f>IFERROR(__xludf.DUMMYFUNCTION("""COMPUTED_VALUE"""),8.6267786E7)</f>
        <v>86267786</v>
      </c>
      <c r="W97" s="32">
        <f>IFERROR(__xludf.DUMMYFUNCTION("""COMPUTED_VALUE"""),45863.66666666667)</f>
        <v>45863.66667</v>
      </c>
      <c r="X97" s="25">
        <f>IFERROR(__xludf.DUMMYFUNCTION("""COMPUTED_VALUE"""),172.75)</f>
        <v>172.75</v>
      </c>
      <c r="Y97" s="25">
        <f>IFERROR(__xludf.DUMMYFUNCTION("""COMPUTED_VALUE"""),174.72)</f>
        <v>174.72</v>
      </c>
      <c r="Z97" s="25">
        <f>IFERROR(__xludf.DUMMYFUNCTION("""COMPUTED_VALUE"""),164.58)</f>
        <v>164.58</v>
      </c>
      <c r="AA97" s="25">
        <f>IFERROR(__xludf.DUMMYFUNCTION("""COMPUTED_VALUE"""),173.5)</f>
        <v>173.5</v>
      </c>
      <c r="AB97" s="25">
        <f>IFERROR(__xludf.DUMMYFUNCTION("""COMPUTED_VALUE"""),7.2162408E8)</f>
        <v>721624080</v>
      </c>
    </row>
    <row r="98">
      <c r="B98" s="32">
        <f>IFERROR(__xludf.DUMMYFUNCTION("""COMPUTED_VALUE"""),45870.66666666667)</f>
        <v>45870.66667</v>
      </c>
      <c r="C98" s="25">
        <f>IFERROR(__xludf.DUMMYFUNCTION("""COMPUTED_VALUE"""),24.68)</f>
        <v>24.68</v>
      </c>
      <c r="D98" s="25">
        <f>IFERROR(__xludf.DUMMYFUNCTION("""COMPUTED_VALUE"""),24.73)</f>
        <v>24.73</v>
      </c>
      <c r="E98" s="25">
        <f>IFERROR(__xludf.DUMMYFUNCTION("""COMPUTED_VALUE"""),23.11)</f>
        <v>23.11</v>
      </c>
      <c r="F98" s="25">
        <f>IFERROR(__xludf.DUMMYFUNCTION("""COMPUTED_VALUE"""),23.49)</f>
        <v>23.49</v>
      </c>
      <c r="G98" s="25">
        <f>IFERROR(__xludf.DUMMYFUNCTION("""COMPUTED_VALUE"""),2.19347032E8)</f>
        <v>219347032</v>
      </c>
      <c r="I98" s="32">
        <f>IFERROR(__xludf.DUMMYFUNCTION("""COMPUTED_VALUE"""),45870.66666666667)</f>
        <v>45870.66667</v>
      </c>
      <c r="J98" s="25">
        <f>IFERROR(__xludf.DUMMYFUNCTION("""COMPUTED_VALUE"""),20.82)</f>
        <v>20.82</v>
      </c>
      <c r="K98" s="25">
        <f>IFERROR(__xludf.DUMMYFUNCTION("""COMPUTED_VALUE"""),21.29)</f>
        <v>21.29</v>
      </c>
      <c r="L98" s="25">
        <f>IFERROR(__xludf.DUMMYFUNCTION("""COMPUTED_VALUE"""),18.97)</f>
        <v>18.97</v>
      </c>
      <c r="M98" s="25">
        <f>IFERROR(__xludf.DUMMYFUNCTION("""COMPUTED_VALUE"""),19.31)</f>
        <v>19.31</v>
      </c>
      <c r="N98" s="25">
        <f>IFERROR(__xludf.DUMMYFUNCTION("""COMPUTED_VALUE"""),4.31518773E8)</f>
        <v>431518773</v>
      </c>
      <c r="P98" s="32">
        <f>IFERROR(__xludf.DUMMYFUNCTION("""COMPUTED_VALUE"""),45870.66666666667)</f>
        <v>45870.66667</v>
      </c>
      <c r="Q98" s="25">
        <f>IFERROR(__xludf.DUMMYFUNCTION("""COMPUTED_VALUE"""),68.74)</f>
        <v>68.74</v>
      </c>
      <c r="R98" s="25">
        <f>IFERROR(__xludf.DUMMYFUNCTION("""COMPUTED_VALUE"""),69.42)</f>
        <v>69.42</v>
      </c>
      <c r="S98" s="25">
        <f>IFERROR(__xludf.DUMMYFUNCTION("""COMPUTED_VALUE"""),67.74)</f>
        <v>67.74</v>
      </c>
      <c r="T98" s="25">
        <f>IFERROR(__xludf.DUMMYFUNCTION("""COMPUTED_VALUE"""),68.86)</f>
        <v>68.86</v>
      </c>
      <c r="U98" s="25">
        <f>IFERROR(__xludf.DUMMYFUNCTION("""COMPUTED_VALUE"""),7.364128E7)</f>
        <v>73641280</v>
      </c>
      <c r="W98" s="32">
        <f>IFERROR(__xludf.DUMMYFUNCTION("""COMPUTED_VALUE"""),45870.66666666667)</f>
        <v>45870.66667</v>
      </c>
      <c r="X98" s="25">
        <f>IFERROR(__xludf.DUMMYFUNCTION("""COMPUTED_VALUE"""),174.02)</f>
        <v>174.02</v>
      </c>
      <c r="Y98" s="25">
        <f>IFERROR(__xludf.DUMMYFUNCTION("""COMPUTED_VALUE"""),183.3)</f>
        <v>183.3</v>
      </c>
      <c r="Z98" s="25">
        <f>IFERROR(__xludf.DUMMYFUNCTION("""COMPUTED_VALUE"""),170.89)</f>
        <v>170.89</v>
      </c>
      <c r="AA98" s="25">
        <f>IFERROR(__xludf.DUMMYFUNCTION("""COMPUTED_VALUE"""),173.72)</f>
        <v>173.72</v>
      </c>
      <c r="AB98" s="25">
        <f>IFERROR(__xludf.DUMMYFUNCTION("""COMPUTED_VALUE"""),8.94627672E8)</f>
        <v>894627672</v>
      </c>
    </row>
    <row r="99">
      <c r="B99" s="32">
        <f>IFERROR(__xludf.DUMMYFUNCTION("""COMPUTED_VALUE"""),45877.66666666667)</f>
        <v>45877.66667</v>
      </c>
      <c r="C99" s="25">
        <f>IFERROR(__xludf.DUMMYFUNCTION("""COMPUTED_VALUE"""),23.44)</f>
        <v>23.44</v>
      </c>
      <c r="D99" s="25">
        <f>IFERROR(__xludf.DUMMYFUNCTION("""COMPUTED_VALUE"""),24.89)</f>
        <v>24.89</v>
      </c>
      <c r="E99" s="25">
        <f>IFERROR(__xludf.DUMMYFUNCTION("""COMPUTED_VALUE"""),23.4)</f>
        <v>23.4</v>
      </c>
      <c r="F99" s="25">
        <f>IFERROR(__xludf.DUMMYFUNCTION("""COMPUTED_VALUE"""),24.58)</f>
        <v>24.58</v>
      </c>
      <c r="G99" s="25">
        <f>IFERROR(__xludf.DUMMYFUNCTION("""COMPUTED_VALUE"""),3.18526306E8)</f>
        <v>318526306</v>
      </c>
      <c r="I99" s="32">
        <f>IFERROR(__xludf.DUMMYFUNCTION("""COMPUTED_VALUE"""),45877.66666666667)</f>
        <v>45877.66667</v>
      </c>
      <c r="J99" s="25">
        <f>IFERROR(__xludf.DUMMYFUNCTION("""COMPUTED_VALUE"""),19.52)</f>
        <v>19.52</v>
      </c>
      <c r="K99" s="25">
        <f>IFERROR(__xludf.DUMMYFUNCTION("""COMPUTED_VALUE"""),20.54)</f>
        <v>20.54</v>
      </c>
      <c r="L99" s="25">
        <f>IFERROR(__xludf.DUMMYFUNCTION("""COMPUTED_VALUE"""),19.35)</f>
        <v>19.35</v>
      </c>
      <c r="M99" s="25">
        <f>IFERROR(__xludf.DUMMYFUNCTION("""COMPUTED_VALUE"""),19.95)</f>
        <v>19.95</v>
      </c>
      <c r="N99" s="25">
        <f>IFERROR(__xludf.DUMMYFUNCTION("""COMPUTED_VALUE"""),4.40459621E8)</f>
        <v>440459621</v>
      </c>
      <c r="P99" s="32">
        <f>IFERROR(__xludf.DUMMYFUNCTION("""COMPUTED_VALUE"""),45877.66666666667)</f>
        <v>45877.66667</v>
      </c>
      <c r="Q99" s="25">
        <f>IFERROR(__xludf.DUMMYFUNCTION("""COMPUTED_VALUE"""),68.72)</f>
        <v>68.72</v>
      </c>
      <c r="R99" s="25">
        <f>IFERROR(__xludf.DUMMYFUNCTION("""COMPUTED_VALUE"""),70.87)</f>
        <v>70.87</v>
      </c>
      <c r="S99" s="25">
        <f>IFERROR(__xludf.DUMMYFUNCTION("""COMPUTED_VALUE"""),68.31)</f>
        <v>68.31</v>
      </c>
      <c r="T99" s="25">
        <f>IFERROR(__xludf.DUMMYFUNCTION("""COMPUTED_VALUE"""),70.34)</f>
        <v>70.34</v>
      </c>
      <c r="U99" s="25">
        <f>IFERROR(__xludf.DUMMYFUNCTION("""COMPUTED_VALUE"""),5.8501346E7)</f>
        <v>58501346</v>
      </c>
      <c r="W99" s="32">
        <f>IFERROR(__xludf.DUMMYFUNCTION("""COMPUTED_VALUE"""),45877.66666666667)</f>
        <v>45877.66667</v>
      </c>
      <c r="X99" s="25">
        <f>IFERROR(__xludf.DUMMYFUNCTION("""COMPUTED_VALUE"""),175.16)</f>
        <v>175.16</v>
      </c>
      <c r="Y99" s="25">
        <f>IFERROR(__xludf.DUMMYFUNCTION("""COMPUTED_VALUE"""),183.88)</f>
        <v>183.88</v>
      </c>
      <c r="Z99" s="25">
        <f>IFERROR(__xludf.DUMMYFUNCTION("""COMPUTED_VALUE"""),174.52)</f>
        <v>174.52</v>
      </c>
      <c r="AA99" s="25">
        <f>IFERROR(__xludf.DUMMYFUNCTION("""COMPUTED_VALUE"""),182.7)</f>
        <v>182.7</v>
      </c>
      <c r="AB99" s="25">
        <f>IFERROR(__xludf.DUMMYFUNCTION("""COMPUTED_VALUE"""),7.17049539E8)</f>
        <v>717049539</v>
      </c>
    </row>
    <row r="100">
      <c r="B100" s="32">
        <f>IFERROR(__xludf.DUMMYFUNCTION("""COMPUTED_VALUE"""),45884.66666666667)</f>
        <v>45884.66667</v>
      </c>
      <c r="C100" s="25">
        <f>IFERROR(__xludf.DUMMYFUNCTION("""COMPUTED_VALUE"""),24.6)</f>
        <v>24.6</v>
      </c>
      <c r="D100" s="25">
        <f>IFERROR(__xludf.DUMMYFUNCTION("""COMPUTED_VALUE"""),25.3)</f>
        <v>25.3</v>
      </c>
      <c r="E100" s="25">
        <f>IFERROR(__xludf.DUMMYFUNCTION("""COMPUTED_VALUE"""),24.47)</f>
        <v>24.47</v>
      </c>
      <c r="F100" s="25">
        <f>IFERROR(__xludf.DUMMYFUNCTION("""COMPUTED_VALUE"""),25.14)</f>
        <v>25.14</v>
      </c>
      <c r="G100" s="25">
        <f>IFERROR(__xludf.DUMMYFUNCTION("""COMPUTED_VALUE"""),1.77063654E8)</f>
        <v>177063654</v>
      </c>
      <c r="I100" s="32">
        <f>IFERROR(__xludf.DUMMYFUNCTION("""COMPUTED_VALUE"""),45884.66666666667)</f>
        <v>45884.66667</v>
      </c>
      <c r="J100" s="25">
        <f>IFERROR(__xludf.DUMMYFUNCTION("""COMPUTED_VALUE"""),20.45)</f>
        <v>20.45</v>
      </c>
      <c r="K100" s="25">
        <f>IFERROR(__xludf.DUMMYFUNCTION("""COMPUTED_VALUE"""),25.65)</f>
        <v>25.65</v>
      </c>
      <c r="L100" s="25">
        <f>IFERROR(__xludf.DUMMYFUNCTION("""COMPUTED_VALUE"""),20.44)</f>
        <v>20.44</v>
      </c>
      <c r="M100" s="25">
        <f>IFERROR(__xludf.DUMMYFUNCTION("""COMPUTED_VALUE"""),24.56)</f>
        <v>24.56</v>
      </c>
      <c r="N100" s="25">
        <f>IFERROR(__xludf.DUMMYFUNCTION("""COMPUTED_VALUE"""),8.94271686E8)</f>
        <v>894271686</v>
      </c>
      <c r="P100" s="32">
        <f>IFERROR(__xludf.DUMMYFUNCTION("""COMPUTED_VALUE"""),45884.66666666667)</f>
        <v>45884.66667</v>
      </c>
      <c r="Q100" s="25">
        <f>IFERROR(__xludf.DUMMYFUNCTION("""COMPUTED_VALUE"""),70.3)</f>
        <v>70.3</v>
      </c>
      <c r="R100" s="25">
        <f>IFERROR(__xludf.DUMMYFUNCTION("""COMPUTED_VALUE"""),71.06)</f>
        <v>71.06</v>
      </c>
      <c r="S100" s="25">
        <f>IFERROR(__xludf.DUMMYFUNCTION("""COMPUTED_VALUE"""),69.39)</f>
        <v>69.39</v>
      </c>
      <c r="T100" s="25">
        <f>IFERROR(__xludf.DUMMYFUNCTION("""COMPUTED_VALUE"""),69.92)</f>
        <v>69.92</v>
      </c>
      <c r="U100" s="25">
        <f>IFERROR(__xludf.DUMMYFUNCTION("""COMPUTED_VALUE"""),5.5434418E7)</f>
        <v>55434418</v>
      </c>
      <c r="W100" s="32">
        <f>IFERROR(__xludf.DUMMYFUNCTION("""COMPUTED_VALUE"""),45884.66666666667)</f>
        <v>45884.66667</v>
      </c>
      <c r="X100" s="25">
        <f>IFERROR(__xludf.DUMMYFUNCTION("""COMPUTED_VALUE"""),182.05)</f>
        <v>182.05</v>
      </c>
      <c r="Y100" s="25">
        <f>IFERROR(__xludf.DUMMYFUNCTION("""COMPUTED_VALUE"""),184.48)</f>
        <v>184.48</v>
      </c>
      <c r="Z100" s="25">
        <f>IFERROR(__xludf.DUMMYFUNCTION("""COMPUTED_VALUE"""),178.04)</f>
        <v>178.04</v>
      </c>
      <c r="AA100" s="25">
        <f>IFERROR(__xludf.DUMMYFUNCTION("""COMPUTED_VALUE"""),180.45)</f>
        <v>180.45</v>
      </c>
      <c r="AB100" s="25">
        <f>IFERROR(__xludf.DUMMYFUNCTION("""COMPUTED_VALUE"""),7.50080237E8)</f>
        <v>750080237</v>
      </c>
    </row>
    <row r="101">
      <c r="B101" s="32">
        <f>IFERROR(__xludf.DUMMYFUNCTION("""COMPUTED_VALUE"""),45891.66666666667)</f>
        <v>45891.66667</v>
      </c>
      <c r="C101" s="25">
        <f>IFERROR(__xludf.DUMMYFUNCTION("""COMPUTED_VALUE"""),25.15)</f>
        <v>25.15</v>
      </c>
      <c r="D101" s="25">
        <f>IFERROR(__xludf.DUMMYFUNCTION("""COMPUTED_VALUE"""),26.11)</f>
        <v>26.11</v>
      </c>
      <c r="E101" s="25">
        <f>IFERROR(__xludf.DUMMYFUNCTION("""COMPUTED_VALUE"""),25.01)</f>
        <v>25.01</v>
      </c>
      <c r="F101" s="25">
        <f>IFERROR(__xludf.DUMMYFUNCTION("""COMPUTED_VALUE"""),25.88)</f>
        <v>25.88</v>
      </c>
      <c r="G101" s="25">
        <f>IFERROR(__xludf.DUMMYFUNCTION("""COMPUTED_VALUE"""),1.74533417E8)</f>
        <v>174533417</v>
      </c>
      <c r="I101" s="32">
        <f>IFERROR(__xludf.DUMMYFUNCTION("""COMPUTED_VALUE"""),45891.66666666667)</f>
        <v>45891.66667</v>
      </c>
      <c r="J101" s="25">
        <f>IFERROR(__xludf.DUMMYFUNCTION("""COMPUTED_VALUE"""),24.0)</f>
        <v>24</v>
      </c>
      <c r="K101" s="25">
        <f>IFERROR(__xludf.DUMMYFUNCTION("""COMPUTED_VALUE"""),26.53)</f>
        <v>26.53</v>
      </c>
      <c r="L101" s="25">
        <f>IFERROR(__xludf.DUMMYFUNCTION("""COMPUTED_VALUE"""),22.78)</f>
        <v>22.78</v>
      </c>
      <c r="M101" s="25">
        <f>IFERROR(__xludf.DUMMYFUNCTION("""COMPUTED_VALUE"""),24.8)</f>
        <v>24.8</v>
      </c>
      <c r="N101" s="25">
        <f>IFERROR(__xludf.DUMMYFUNCTION("""COMPUTED_VALUE"""),9.69309299E8)</f>
        <v>969309299</v>
      </c>
      <c r="P101" s="32">
        <f>IFERROR(__xludf.DUMMYFUNCTION("""COMPUTED_VALUE"""),45891.66666666667)</f>
        <v>45891.66667</v>
      </c>
      <c r="Q101" s="25">
        <f>IFERROR(__xludf.DUMMYFUNCTION("""COMPUTED_VALUE"""),69.96)</f>
        <v>69.96</v>
      </c>
      <c r="R101" s="25">
        <f>IFERROR(__xludf.DUMMYFUNCTION("""COMPUTED_VALUE"""),71.71)</f>
        <v>71.71</v>
      </c>
      <c r="S101" s="25">
        <f>IFERROR(__xludf.DUMMYFUNCTION("""COMPUTED_VALUE"""),69.05)</f>
        <v>69.05</v>
      </c>
      <c r="T101" s="25">
        <f>IFERROR(__xludf.DUMMYFUNCTION("""COMPUTED_VALUE"""),70.13)</f>
        <v>70.13</v>
      </c>
      <c r="U101" s="25">
        <f>IFERROR(__xludf.DUMMYFUNCTION("""COMPUTED_VALUE"""),6.7327975E7)</f>
        <v>67327975</v>
      </c>
      <c r="W101" s="32">
        <f>IFERROR(__xludf.DUMMYFUNCTION("""COMPUTED_VALUE"""),45891.66666666667)</f>
        <v>45891.66667</v>
      </c>
      <c r="X101" s="25">
        <f>IFERROR(__xludf.DUMMYFUNCTION("""COMPUTED_VALUE"""),180.6)</f>
        <v>180.6</v>
      </c>
      <c r="Y101" s="25">
        <f>IFERROR(__xludf.DUMMYFUNCTION("""COMPUTED_VALUE"""),182.94)</f>
        <v>182.94</v>
      </c>
      <c r="Z101" s="25">
        <f>IFERROR(__xludf.DUMMYFUNCTION("""COMPUTED_VALUE"""),168.8)</f>
        <v>168.8</v>
      </c>
      <c r="AA101" s="25">
        <f>IFERROR(__xludf.DUMMYFUNCTION("""COMPUTED_VALUE"""),177.99)</f>
        <v>177.99</v>
      </c>
      <c r="AB101" s="25">
        <f>IFERROR(__xludf.DUMMYFUNCTION("""COMPUTED_VALUE"""),8.4521018E8)</f>
        <v>845210180</v>
      </c>
    </row>
    <row r="102">
      <c r="B102" s="32">
        <f>IFERROR(__xludf.DUMMYFUNCTION("""COMPUTED_VALUE"""),45898.66666666667)</f>
        <v>45898.66667</v>
      </c>
      <c r="C102" s="25">
        <f>IFERROR(__xludf.DUMMYFUNCTION("""COMPUTED_VALUE"""),25.07)</f>
        <v>25.07</v>
      </c>
      <c r="D102" s="25">
        <f>IFERROR(__xludf.DUMMYFUNCTION("""COMPUTED_VALUE"""),25.07)</f>
        <v>25.07</v>
      </c>
      <c r="E102" s="25">
        <f>IFERROR(__xludf.DUMMYFUNCTION("""COMPUTED_VALUE"""),24.51)</f>
        <v>24.51</v>
      </c>
      <c r="F102" s="25">
        <f>IFERROR(__xludf.DUMMYFUNCTION("""COMPUTED_VALUE"""),24.76)</f>
        <v>24.76</v>
      </c>
      <c r="G102" s="25">
        <f>IFERROR(__xludf.DUMMYFUNCTION("""COMPUTED_VALUE"""),8.1336821E7)</f>
        <v>81336821</v>
      </c>
      <c r="I102" s="32">
        <f>IFERROR(__xludf.DUMMYFUNCTION("""COMPUTED_VALUE"""),45898.66666666667)</f>
        <v>45898.66667</v>
      </c>
      <c r="J102" s="25">
        <f>IFERROR(__xludf.DUMMYFUNCTION("""COMPUTED_VALUE"""),25.5)</f>
        <v>25.5</v>
      </c>
      <c r="K102" s="25">
        <f>IFERROR(__xludf.DUMMYFUNCTION("""COMPUTED_VALUE"""),25.88)</f>
        <v>25.88</v>
      </c>
      <c r="L102" s="25">
        <f>IFERROR(__xludf.DUMMYFUNCTION("""COMPUTED_VALUE"""),24.05)</f>
        <v>24.05</v>
      </c>
      <c r="M102" s="25">
        <f>IFERROR(__xludf.DUMMYFUNCTION("""COMPUTED_VALUE"""),24.35)</f>
        <v>24.35</v>
      </c>
      <c r="N102" s="25">
        <f>IFERROR(__xludf.DUMMYFUNCTION("""COMPUTED_VALUE"""),4.50087786E8)</f>
        <v>450087786</v>
      </c>
      <c r="P102" s="32">
        <f>IFERROR(__xludf.DUMMYFUNCTION("""COMPUTED_VALUE"""),45898.66666666667)</f>
        <v>45898.66667</v>
      </c>
      <c r="Q102" s="25">
        <f>IFERROR(__xludf.DUMMYFUNCTION("""COMPUTED_VALUE"""),70.11)</f>
        <v>70.11</v>
      </c>
      <c r="R102" s="25">
        <f>IFERROR(__xludf.DUMMYFUNCTION("""COMPUTED_VALUE"""),70.23)</f>
        <v>70.23</v>
      </c>
      <c r="S102" s="25">
        <f>IFERROR(__xludf.DUMMYFUNCTION("""COMPUTED_VALUE"""),68.28)</f>
        <v>68.28</v>
      </c>
      <c r="T102" s="25">
        <f>IFERROR(__xludf.DUMMYFUNCTION("""COMPUTED_VALUE"""),68.99)</f>
        <v>68.99</v>
      </c>
      <c r="U102" s="25">
        <f>IFERROR(__xludf.DUMMYFUNCTION("""COMPUTED_VALUE"""),7.3972498E7)</f>
        <v>73972498</v>
      </c>
      <c r="W102" s="32">
        <f>IFERROR(__xludf.DUMMYFUNCTION("""COMPUTED_VALUE"""),45898.66666666667)</f>
        <v>45898.66667</v>
      </c>
      <c r="X102" s="25">
        <f>IFERROR(__xludf.DUMMYFUNCTION("""COMPUTED_VALUE"""),178.35)</f>
        <v>178.35</v>
      </c>
      <c r="Y102" s="25">
        <f>IFERROR(__xludf.DUMMYFUNCTION("""COMPUTED_VALUE"""),184.47)</f>
        <v>184.47</v>
      </c>
      <c r="Z102" s="25">
        <f>IFERROR(__xludf.DUMMYFUNCTION("""COMPUTED_VALUE"""),173.15)</f>
        <v>173.15</v>
      </c>
      <c r="AA102" s="25">
        <f>IFERROR(__xludf.DUMMYFUNCTION("""COMPUTED_VALUE"""),174.18)</f>
        <v>174.18</v>
      </c>
      <c r="AB102" s="25">
        <f>IFERROR(__xludf.DUMMYFUNCTION("""COMPUTED_VALUE"""),1.092265621E9)</f>
        <v>1092265621</v>
      </c>
    </row>
    <row r="103">
      <c r="B103" s="32">
        <f>IFERROR(__xludf.DUMMYFUNCTION("""COMPUTED_VALUE"""),45905.66666666667)</f>
        <v>45905.66667</v>
      </c>
      <c r="C103" s="25">
        <f>IFERROR(__xludf.DUMMYFUNCTION("""COMPUTED_VALUE"""),24.73)</f>
        <v>24.73</v>
      </c>
      <c r="D103" s="25">
        <f>IFERROR(__xludf.DUMMYFUNCTION("""COMPUTED_VALUE"""),25.12)</f>
        <v>25.12</v>
      </c>
      <c r="E103" s="25">
        <f>IFERROR(__xludf.DUMMYFUNCTION("""COMPUTED_VALUE"""),24.35)</f>
        <v>24.35</v>
      </c>
      <c r="F103" s="25">
        <f>IFERROR(__xludf.DUMMYFUNCTION("""COMPUTED_VALUE"""),24.88)</f>
        <v>24.88</v>
      </c>
      <c r="G103" s="25">
        <f>IFERROR(__xludf.DUMMYFUNCTION("""COMPUTED_VALUE"""),1.51991281E8)</f>
        <v>151991281</v>
      </c>
      <c r="I103" s="32">
        <f>IFERROR(__xludf.DUMMYFUNCTION("""COMPUTED_VALUE"""),45905.66666666667)</f>
        <v>45905.66667</v>
      </c>
      <c r="J103" s="25">
        <f>IFERROR(__xludf.DUMMYFUNCTION("""COMPUTED_VALUE"""),23.88)</f>
        <v>23.88</v>
      </c>
      <c r="K103" s="25">
        <f>IFERROR(__xludf.DUMMYFUNCTION("""COMPUTED_VALUE"""),24.71)</f>
        <v>24.71</v>
      </c>
      <c r="L103" s="25">
        <f>IFERROR(__xludf.DUMMYFUNCTION("""COMPUTED_VALUE"""),23.68)</f>
        <v>23.68</v>
      </c>
      <c r="M103" s="25">
        <f>IFERROR(__xludf.DUMMYFUNCTION("""COMPUTED_VALUE"""),24.49)</f>
        <v>24.49</v>
      </c>
      <c r="N103" s="25">
        <f>IFERROR(__xludf.DUMMYFUNCTION("""COMPUTED_VALUE"""),2.20516468E8)</f>
        <v>220516468</v>
      </c>
      <c r="P103" s="32">
        <f>IFERROR(__xludf.DUMMYFUNCTION("""COMPUTED_VALUE"""),45905.66666666667)</f>
        <v>45905.66667</v>
      </c>
      <c r="Q103" s="25">
        <f>IFERROR(__xludf.DUMMYFUNCTION("""COMPUTED_VALUE"""),68.96)</f>
        <v>68.96</v>
      </c>
      <c r="R103" s="25">
        <f>IFERROR(__xludf.DUMMYFUNCTION("""COMPUTED_VALUE"""),69.46)</f>
        <v>69.46</v>
      </c>
      <c r="S103" s="25">
        <f>IFERROR(__xludf.DUMMYFUNCTION("""COMPUTED_VALUE"""),67.37)</f>
        <v>67.37</v>
      </c>
      <c r="T103" s="25">
        <f>IFERROR(__xludf.DUMMYFUNCTION("""COMPUTED_VALUE"""),67.96)</f>
        <v>67.96</v>
      </c>
      <c r="U103" s="25">
        <f>IFERROR(__xludf.DUMMYFUNCTION("""COMPUTED_VALUE"""),9.9065568E7)</f>
        <v>99065568</v>
      </c>
      <c r="W103" s="32">
        <f>IFERROR(__xludf.DUMMYFUNCTION("""COMPUTED_VALUE"""),45905.66666666667)</f>
        <v>45905.66667</v>
      </c>
      <c r="X103" s="25">
        <f>IFERROR(__xludf.DUMMYFUNCTION("""COMPUTED_VALUE"""),170.0)</f>
        <v>170</v>
      </c>
      <c r="Y103" s="25">
        <f>IFERROR(__xludf.DUMMYFUNCTION("""COMPUTED_VALUE"""),172.41)</f>
        <v>172.41</v>
      </c>
      <c r="Z103" s="25">
        <f>IFERROR(__xludf.DUMMYFUNCTION("""COMPUTED_VALUE"""),164.07)</f>
        <v>164.07</v>
      </c>
      <c r="AA103" s="25">
        <f>IFERROR(__xludf.DUMMYFUNCTION("""COMPUTED_VALUE"""),167.02)</f>
        <v>167.02</v>
      </c>
      <c r="AB103" s="25">
        <f>IFERROR(__xludf.DUMMYFUNCTION("""COMPUTED_VALUE"""),7.61701305E8)</f>
        <v>761701305</v>
      </c>
    </row>
    <row r="104">
      <c r="B104" s="32">
        <f>IFERROR(__xludf.DUMMYFUNCTION("""COMPUTED_VALUE"""),45912.66666666667)</f>
        <v>45912.66667</v>
      </c>
      <c r="C104" s="25">
        <f>IFERROR(__xludf.DUMMYFUNCTION("""COMPUTED_VALUE"""),24.9)</f>
        <v>24.9</v>
      </c>
      <c r="D104" s="25">
        <f>IFERROR(__xludf.DUMMYFUNCTION("""COMPUTED_VALUE"""),24.97)</f>
        <v>24.97</v>
      </c>
      <c r="E104" s="25">
        <f>IFERROR(__xludf.DUMMYFUNCTION("""COMPUTED_VALUE"""),23.84)</f>
        <v>23.84</v>
      </c>
      <c r="F104" s="25">
        <f>IFERROR(__xludf.DUMMYFUNCTION("""COMPUTED_VALUE"""),23.87)</f>
        <v>23.87</v>
      </c>
      <c r="G104" s="25">
        <f>IFERROR(__xludf.DUMMYFUNCTION("""COMPUTED_VALUE"""),2.33132436E8)</f>
        <v>233132436</v>
      </c>
      <c r="I104" s="32">
        <f>IFERROR(__xludf.DUMMYFUNCTION("""COMPUTED_VALUE"""),45912.66666666667)</f>
        <v>45912.66667</v>
      </c>
      <c r="J104" s="25">
        <f>IFERROR(__xludf.DUMMYFUNCTION("""COMPUTED_VALUE"""),24.48)</f>
        <v>24.48</v>
      </c>
      <c r="K104" s="25">
        <f>IFERROR(__xludf.DUMMYFUNCTION("""COMPUTED_VALUE"""),24.93)</f>
        <v>24.93</v>
      </c>
      <c r="L104" s="25">
        <f>IFERROR(__xludf.DUMMYFUNCTION("""COMPUTED_VALUE"""),24.05)</f>
        <v>24.05</v>
      </c>
      <c r="M104" s="25">
        <f>IFERROR(__xludf.DUMMYFUNCTION("""COMPUTED_VALUE"""),24.08)</f>
        <v>24.08</v>
      </c>
      <c r="N104" s="25">
        <f>IFERROR(__xludf.DUMMYFUNCTION("""COMPUTED_VALUE"""),2.63078765E8)</f>
        <v>263078765</v>
      </c>
      <c r="P104" s="32">
        <f>IFERROR(__xludf.DUMMYFUNCTION("""COMPUTED_VALUE"""),45912.66666666667)</f>
        <v>45912.66667</v>
      </c>
      <c r="Q104" s="25">
        <f>IFERROR(__xludf.DUMMYFUNCTION("""COMPUTED_VALUE"""),67.86)</f>
        <v>67.86</v>
      </c>
      <c r="R104" s="25">
        <f>IFERROR(__xludf.DUMMYFUNCTION("""COMPUTED_VALUE"""),68.17)</f>
        <v>68.17</v>
      </c>
      <c r="S104" s="25">
        <f>IFERROR(__xludf.DUMMYFUNCTION("""COMPUTED_VALUE"""),66.94)</f>
        <v>66.94</v>
      </c>
      <c r="T104" s="25">
        <f>IFERROR(__xludf.DUMMYFUNCTION("""COMPUTED_VALUE"""),67.01)</f>
        <v>67.01</v>
      </c>
      <c r="U104" s="25">
        <f>IFERROR(__xludf.DUMMYFUNCTION("""COMPUTED_VALUE"""),8.5675333E7)</f>
        <v>85675333</v>
      </c>
      <c r="W104" s="32">
        <f>IFERROR(__xludf.DUMMYFUNCTION("""COMPUTED_VALUE"""),45912.66666666667)</f>
        <v>45912.66667</v>
      </c>
      <c r="X104" s="25">
        <f>IFERROR(__xludf.DUMMYFUNCTION("""COMPUTED_VALUE"""),167.55)</f>
        <v>167.55</v>
      </c>
      <c r="Y104" s="25">
        <f>IFERROR(__xludf.DUMMYFUNCTION("""COMPUTED_VALUE"""),180.28)</f>
        <v>180.28</v>
      </c>
      <c r="Z104" s="25">
        <f>IFERROR(__xludf.DUMMYFUNCTION("""COMPUTED_VALUE"""),166.74)</f>
        <v>166.74</v>
      </c>
      <c r="AA104" s="25">
        <f>IFERROR(__xludf.DUMMYFUNCTION("""COMPUTED_VALUE"""),177.82)</f>
        <v>177.82</v>
      </c>
      <c r="AB104" s="25">
        <f>IFERROR(__xludf.DUMMYFUNCTION("""COMPUTED_VALUE"""),8.24239845E8)</f>
        <v>824239845</v>
      </c>
    </row>
    <row r="105">
      <c r="B105" s="32">
        <f>IFERROR(__xludf.DUMMYFUNCTION("""COMPUTED_VALUE"""),45919.66666666667)</f>
        <v>45919.66667</v>
      </c>
      <c r="C105" s="25">
        <f>IFERROR(__xludf.DUMMYFUNCTION("""COMPUTED_VALUE"""),23.99)</f>
        <v>23.99</v>
      </c>
      <c r="D105" s="25">
        <f>IFERROR(__xludf.DUMMYFUNCTION("""COMPUTED_VALUE"""),24.39)</f>
        <v>24.39</v>
      </c>
      <c r="E105" s="25">
        <f>IFERROR(__xludf.DUMMYFUNCTION("""COMPUTED_VALUE"""),23.68)</f>
        <v>23.68</v>
      </c>
      <c r="F105" s="25">
        <f>IFERROR(__xludf.DUMMYFUNCTION("""COMPUTED_VALUE"""),24.03)</f>
        <v>24.03</v>
      </c>
      <c r="G105" s="25">
        <f>IFERROR(__xludf.DUMMYFUNCTION("""COMPUTED_VALUE"""),2.75119189E8)</f>
        <v>275119189</v>
      </c>
      <c r="I105" s="32">
        <f>IFERROR(__xludf.DUMMYFUNCTION("""COMPUTED_VALUE"""),45919.66666666667)</f>
        <v>45919.66667</v>
      </c>
      <c r="J105" s="25">
        <f>IFERROR(__xludf.DUMMYFUNCTION("""COMPUTED_VALUE"""),24.33)</f>
        <v>24.33</v>
      </c>
      <c r="K105" s="25">
        <f>IFERROR(__xludf.DUMMYFUNCTION("""COMPUTED_VALUE"""),32.38)</f>
        <v>32.38</v>
      </c>
      <c r="L105" s="25">
        <f>IFERROR(__xludf.DUMMYFUNCTION("""COMPUTED_VALUE"""),24.22)</f>
        <v>24.22</v>
      </c>
      <c r="M105" s="25">
        <f>IFERROR(__xludf.DUMMYFUNCTION("""COMPUTED_VALUE"""),29.58)</f>
        <v>29.58</v>
      </c>
      <c r="N105" s="25">
        <f>IFERROR(__xludf.DUMMYFUNCTION("""COMPUTED_VALUE"""),9.56992686E8)</f>
        <v>956992686</v>
      </c>
      <c r="P105" s="32">
        <f>IFERROR(__xludf.DUMMYFUNCTION("""COMPUTED_VALUE"""),45919.66666666667)</f>
        <v>45919.66667</v>
      </c>
      <c r="Q105" s="25">
        <f>IFERROR(__xludf.DUMMYFUNCTION("""COMPUTED_VALUE"""),66.68)</f>
        <v>66.68</v>
      </c>
      <c r="R105" s="25">
        <f>IFERROR(__xludf.DUMMYFUNCTION("""COMPUTED_VALUE"""),67.13)</f>
        <v>67.13</v>
      </c>
      <c r="S105" s="25">
        <f>IFERROR(__xludf.DUMMYFUNCTION("""COMPUTED_VALUE"""),66.05)</f>
        <v>66.05</v>
      </c>
      <c r="T105" s="25">
        <f>IFERROR(__xludf.DUMMYFUNCTION("""COMPUTED_VALUE"""),66.43)</f>
        <v>66.43</v>
      </c>
      <c r="U105" s="25">
        <f>IFERROR(__xludf.DUMMYFUNCTION("""COMPUTED_VALUE"""),1.00830148E8)</f>
        <v>100830148</v>
      </c>
      <c r="W105" s="32">
        <f>IFERROR(__xludf.DUMMYFUNCTION("""COMPUTED_VALUE"""),45919.66666666667)</f>
        <v>45919.66667</v>
      </c>
      <c r="X105" s="25">
        <f>IFERROR(__xludf.DUMMYFUNCTION("""COMPUTED_VALUE"""),175.67)</f>
        <v>175.67</v>
      </c>
      <c r="Y105" s="25">
        <f>IFERROR(__xludf.DUMMYFUNCTION("""COMPUTED_VALUE"""),178.85)</f>
        <v>178.85</v>
      </c>
      <c r="Z105" s="25">
        <f>IFERROR(__xludf.DUMMYFUNCTION("""COMPUTED_VALUE"""),168.41)</f>
        <v>168.41</v>
      </c>
      <c r="AA105" s="25">
        <f>IFERROR(__xludf.DUMMYFUNCTION("""COMPUTED_VALUE"""),176.67)</f>
        <v>176.67</v>
      </c>
      <c r="AB105" s="25">
        <f>IFERROR(__xludf.DUMMYFUNCTION("""COMPUTED_VALUE"""),9.28588607E8)</f>
        <v>928588607</v>
      </c>
    </row>
    <row r="106">
      <c r="B106" s="32">
        <f>IFERROR(__xludf.DUMMYFUNCTION("""COMPUTED_VALUE"""),45926.66666666667)</f>
        <v>45926.66667</v>
      </c>
      <c r="C106" s="25">
        <f>IFERROR(__xludf.DUMMYFUNCTION("""COMPUTED_VALUE"""),24.28)</f>
        <v>24.28</v>
      </c>
      <c r="D106" s="25">
        <f>IFERROR(__xludf.DUMMYFUNCTION("""COMPUTED_VALUE"""),24.8)</f>
        <v>24.8</v>
      </c>
      <c r="E106" s="25">
        <f>IFERROR(__xludf.DUMMYFUNCTION("""COMPUTED_VALUE"""),23.58)</f>
        <v>23.58</v>
      </c>
      <c r="F106" s="25">
        <f>IFERROR(__xludf.DUMMYFUNCTION("""COMPUTED_VALUE"""),23.76)</f>
        <v>23.76</v>
      </c>
      <c r="G106" s="25">
        <f>IFERROR(__xludf.DUMMYFUNCTION("""COMPUTED_VALUE"""),2.36600702E8)</f>
        <v>236600702</v>
      </c>
      <c r="I106" s="32">
        <f>IFERROR(__xludf.DUMMYFUNCTION("""COMPUTED_VALUE"""),45926.66666666667)</f>
        <v>45926.66667</v>
      </c>
      <c r="J106" s="25">
        <f>IFERROR(__xludf.DUMMYFUNCTION("""COMPUTED_VALUE"""),29.67)</f>
        <v>29.67</v>
      </c>
      <c r="K106" s="25">
        <f>IFERROR(__xludf.DUMMYFUNCTION("""COMPUTED_VALUE"""),36.3)</f>
        <v>36.3</v>
      </c>
      <c r="L106" s="25">
        <f>IFERROR(__xludf.DUMMYFUNCTION("""COMPUTED_VALUE"""),28.73)</f>
        <v>28.73</v>
      </c>
      <c r="M106" s="25">
        <f>IFERROR(__xludf.DUMMYFUNCTION("""COMPUTED_VALUE"""),35.5)</f>
        <v>35.5</v>
      </c>
      <c r="N106" s="25">
        <f>IFERROR(__xludf.DUMMYFUNCTION("""COMPUTED_VALUE"""),5.28145044E8)</f>
        <v>528145044</v>
      </c>
      <c r="P106" s="32">
        <f>IFERROR(__xludf.DUMMYFUNCTION("""COMPUTED_VALUE"""),45926.66666666667)</f>
        <v>45926.66667</v>
      </c>
      <c r="Q106" s="25">
        <f>IFERROR(__xludf.DUMMYFUNCTION("""COMPUTED_VALUE"""),66.16)</f>
        <v>66.16</v>
      </c>
      <c r="R106" s="25">
        <f>IFERROR(__xludf.DUMMYFUNCTION("""COMPUTED_VALUE"""),66.76)</f>
        <v>66.76</v>
      </c>
      <c r="S106" s="25">
        <f>IFERROR(__xludf.DUMMYFUNCTION("""COMPUTED_VALUE"""),65.5)</f>
        <v>65.5</v>
      </c>
      <c r="T106" s="25">
        <f>IFERROR(__xludf.DUMMYFUNCTION("""COMPUTED_VALUE"""),65.67)</f>
        <v>65.67</v>
      </c>
      <c r="U106" s="25">
        <f>IFERROR(__xludf.DUMMYFUNCTION("""COMPUTED_VALUE"""),4.626675E7)</f>
        <v>46266750</v>
      </c>
      <c r="W106" s="32">
        <f>IFERROR(__xludf.DUMMYFUNCTION("""COMPUTED_VALUE"""),45926.66666666667)</f>
        <v>45926.66667</v>
      </c>
      <c r="X106" s="25">
        <f>IFERROR(__xludf.DUMMYFUNCTION("""COMPUTED_VALUE"""),175.3)</f>
        <v>175.3</v>
      </c>
      <c r="Y106" s="25">
        <f>IFERROR(__xludf.DUMMYFUNCTION("""COMPUTED_VALUE"""),184.55)</f>
        <v>184.55</v>
      </c>
      <c r="Z106" s="25">
        <f>IFERROR(__xludf.DUMMYFUNCTION("""COMPUTED_VALUE"""),174.71)</f>
        <v>174.71</v>
      </c>
      <c r="AA106" s="25">
        <f>IFERROR(__xludf.DUMMYFUNCTION("""COMPUTED_VALUE"""),178.19)</f>
        <v>178.19</v>
      </c>
      <c r="AB106" s="25">
        <f>IFERROR(__xludf.DUMMYFUNCTION("""COMPUTED_VALUE"""),6.15352986E8)</f>
        <v>615352986</v>
      </c>
    </row>
    <row r="107">
      <c r="B107" s="32">
        <f>IFERROR(__xludf.DUMMYFUNCTION("""COMPUTED_VALUE"""),45933.66666666667)</f>
        <v>45933.66667</v>
      </c>
      <c r="C107" s="25">
        <f>IFERROR(__xludf.DUMMYFUNCTION("""COMPUTED_VALUE"""),23.79)</f>
        <v>23.79</v>
      </c>
      <c r="D107" s="25">
        <f>IFERROR(__xludf.DUMMYFUNCTION("""COMPUTED_VALUE"""),27.69)</f>
        <v>27.69</v>
      </c>
      <c r="E107" s="25">
        <f>IFERROR(__xludf.DUMMYFUNCTION("""COMPUTED_VALUE"""),23.64)</f>
        <v>23.64</v>
      </c>
      <c r="F107" s="25">
        <f>IFERROR(__xludf.DUMMYFUNCTION("""COMPUTED_VALUE"""),27.37)</f>
        <v>27.37</v>
      </c>
      <c r="G107" s="25">
        <f>IFERROR(__xludf.DUMMYFUNCTION("""COMPUTED_VALUE"""),4.95139627E8)</f>
        <v>495139627</v>
      </c>
      <c r="I107" s="32">
        <f>IFERROR(__xludf.DUMMYFUNCTION("""COMPUTED_VALUE"""),45933.66666666667)</f>
        <v>45933.66667</v>
      </c>
      <c r="J107" s="25">
        <f>IFERROR(__xludf.DUMMYFUNCTION("""COMPUTED_VALUE"""),34.52)</f>
        <v>34.52</v>
      </c>
      <c r="K107" s="25">
        <f>IFERROR(__xludf.DUMMYFUNCTION("""COMPUTED_VALUE"""),38.08)</f>
        <v>38.08</v>
      </c>
      <c r="L107" s="25">
        <f>IFERROR(__xludf.DUMMYFUNCTION("""COMPUTED_VALUE"""),33.02)</f>
        <v>33.02</v>
      </c>
      <c r="M107" s="25">
        <f>IFERROR(__xludf.DUMMYFUNCTION("""COMPUTED_VALUE"""),36.83)</f>
        <v>36.83</v>
      </c>
      <c r="N107" s="25">
        <f>IFERROR(__xludf.DUMMYFUNCTION("""COMPUTED_VALUE"""),7.14794929E8)</f>
        <v>714794929</v>
      </c>
      <c r="P107" s="32">
        <f>IFERROR(__xludf.DUMMYFUNCTION("""COMPUTED_VALUE"""),45933.66666666667)</f>
        <v>45933.66667</v>
      </c>
      <c r="Q107" s="25">
        <f>IFERROR(__xludf.DUMMYFUNCTION("""COMPUTED_VALUE"""),65.67)</f>
        <v>65.67</v>
      </c>
      <c r="R107" s="25">
        <f>IFERROR(__xludf.DUMMYFUNCTION("""COMPUTED_VALUE"""),66.99)</f>
        <v>66.99</v>
      </c>
      <c r="S107" s="25">
        <f>IFERROR(__xludf.DUMMYFUNCTION("""COMPUTED_VALUE"""),65.35)</f>
        <v>65.35</v>
      </c>
      <c r="T107" s="25">
        <f>IFERROR(__xludf.DUMMYFUNCTION("""COMPUTED_VALUE"""),66.65)</f>
        <v>66.65</v>
      </c>
      <c r="U107" s="25">
        <f>IFERROR(__xludf.DUMMYFUNCTION("""COMPUTED_VALUE"""),7.0111023E7)</f>
        <v>70111023</v>
      </c>
      <c r="W107" s="32">
        <f>IFERROR(__xludf.DUMMYFUNCTION("""COMPUTED_VALUE"""),45933.66666666667)</f>
        <v>45933.66667</v>
      </c>
      <c r="X107" s="25">
        <f>IFERROR(__xludf.DUMMYFUNCTION("""COMPUTED_VALUE"""),180.43)</f>
        <v>180.43</v>
      </c>
      <c r="Y107" s="25">
        <f>IFERROR(__xludf.DUMMYFUNCTION("""COMPUTED_VALUE"""),191.05)</f>
        <v>191.05</v>
      </c>
      <c r="Z107" s="25">
        <f>IFERROR(__xludf.DUMMYFUNCTION("""COMPUTED_VALUE"""),180.32)</f>
        <v>180.32</v>
      </c>
      <c r="AA107" s="25">
        <f>IFERROR(__xludf.DUMMYFUNCTION("""COMPUTED_VALUE"""),187.62)</f>
        <v>187.62</v>
      </c>
      <c r="AB107" s="25">
        <f>IFERROR(__xludf.DUMMYFUNCTION("""COMPUTED_VALUE"""),8.78292105E8)</f>
        <v>878292105</v>
      </c>
    </row>
    <row r="108">
      <c r="B108" s="32">
        <f>IFERROR(__xludf.DUMMYFUNCTION("""COMPUTED_VALUE"""),45940.66666666667)</f>
        <v>45940.66667</v>
      </c>
      <c r="C108" s="25">
        <f>IFERROR(__xludf.DUMMYFUNCTION("""COMPUTED_VALUE"""),27.27)</f>
        <v>27.27</v>
      </c>
      <c r="D108" s="25">
        <f>IFERROR(__xludf.DUMMYFUNCTION("""COMPUTED_VALUE"""),27.36)</f>
        <v>27.36</v>
      </c>
      <c r="E108" s="25">
        <f>IFERROR(__xludf.DUMMYFUNCTION("""COMPUTED_VALUE"""),24.62)</f>
        <v>24.62</v>
      </c>
      <c r="F108" s="25">
        <f>IFERROR(__xludf.DUMMYFUNCTION("""COMPUTED_VALUE"""),24.78)</f>
        <v>24.78</v>
      </c>
      <c r="G108" s="25">
        <f>IFERROR(__xludf.DUMMYFUNCTION("""COMPUTED_VALUE"""),2.71625771E8)</f>
        <v>271625771</v>
      </c>
      <c r="I108" s="32">
        <f>IFERROR(__xludf.DUMMYFUNCTION("""COMPUTED_VALUE"""),45940.66666666667)</f>
        <v>45940.66667</v>
      </c>
      <c r="J108" s="25">
        <f>IFERROR(__xludf.DUMMYFUNCTION("""COMPUTED_VALUE"""),37.19)</f>
        <v>37.19</v>
      </c>
      <c r="K108" s="25">
        <f>IFERROR(__xludf.DUMMYFUNCTION("""COMPUTED_VALUE"""),39.65)</f>
        <v>39.65</v>
      </c>
      <c r="L108" s="25">
        <f>IFERROR(__xludf.DUMMYFUNCTION("""COMPUTED_VALUE"""),35.91)</f>
        <v>35.91</v>
      </c>
      <c r="M108" s="25">
        <f>IFERROR(__xludf.DUMMYFUNCTION("""COMPUTED_VALUE"""),36.37)</f>
        <v>36.37</v>
      </c>
      <c r="N108" s="25">
        <f>IFERROR(__xludf.DUMMYFUNCTION("""COMPUTED_VALUE"""),5.99376263E8)</f>
        <v>599376263</v>
      </c>
      <c r="P108" s="32">
        <f>IFERROR(__xludf.DUMMYFUNCTION("""COMPUTED_VALUE"""),45940.66666666667)</f>
        <v>45940.66667</v>
      </c>
      <c r="Q108" s="25">
        <f>IFERROR(__xludf.DUMMYFUNCTION("""COMPUTED_VALUE"""),66.49)</f>
        <v>66.49</v>
      </c>
      <c r="R108" s="25">
        <f>IFERROR(__xludf.DUMMYFUNCTION("""COMPUTED_VALUE"""),67.4)</f>
        <v>67.4</v>
      </c>
      <c r="S108" s="25">
        <f>IFERROR(__xludf.DUMMYFUNCTION("""COMPUTED_VALUE"""),65.84)</f>
        <v>65.84</v>
      </c>
      <c r="T108" s="25">
        <f>IFERROR(__xludf.DUMMYFUNCTION("""COMPUTED_VALUE"""),67.04)</f>
        <v>67.04</v>
      </c>
      <c r="U108" s="25">
        <f>IFERROR(__xludf.DUMMYFUNCTION("""COMPUTED_VALUE"""),7.0965201E7)</f>
        <v>70965201</v>
      </c>
      <c r="W108" s="32">
        <f>IFERROR(__xludf.DUMMYFUNCTION("""COMPUTED_VALUE"""),45940.66666666667)</f>
        <v>45940.66667</v>
      </c>
      <c r="X108" s="25">
        <f>IFERROR(__xludf.DUMMYFUNCTION("""COMPUTED_VALUE"""),185.5)</f>
        <v>185.5</v>
      </c>
      <c r="Y108" s="25">
        <f>IFERROR(__xludf.DUMMYFUNCTION("""COMPUTED_VALUE"""),195.62)</f>
        <v>195.62</v>
      </c>
      <c r="Z108" s="25">
        <f>IFERROR(__xludf.DUMMYFUNCTION("""COMPUTED_VALUE"""),182.05)</f>
        <v>182.05</v>
      </c>
      <c r="AA108" s="25">
        <f>IFERROR(__xludf.DUMMYFUNCTION("""COMPUTED_VALUE"""),183.16)</f>
        <v>183.16</v>
      </c>
      <c r="AB108" s="25">
        <f>IFERROR(__xludf.DUMMYFUNCTION("""COMPUTED_VALUE"""),8.79706566E8)</f>
        <v>879706566</v>
      </c>
    </row>
    <row r="109">
      <c r="B109" s="32">
        <f>IFERROR(__xludf.DUMMYFUNCTION("""COMPUTED_VALUE"""),45947.66666666667)</f>
        <v>45947.66667</v>
      </c>
      <c r="C109" s="25">
        <f>IFERROR(__xludf.DUMMYFUNCTION("""COMPUTED_VALUE"""),24.84)</f>
        <v>24.84</v>
      </c>
      <c r="D109" s="25">
        <f>IFERROR(__xludf.DUMMYFUNCTION("""COMPUTED_VALUE"""),24.95)</f>
        <v>24.95</v>
      </c>
      <c r="E109" s="25">
        <f>IFERROR(__xludf.DUMMYFUNCTION("""COMPUTED_VALUE"""),24.16)</f>
        <v>24.16</v>
      </c>
      <c r="F109" s="25">
        <f>IFERROR(__xludf.DUMMYFUNCTION("""COMPUTED_VALUE"""),24.51)</f>
        <v>24.51</v>
      </c>
      <c r="G109" s="25">
        <f>IFERROR(__xludf.DUMMYFUNCTION("""COMPUTED_VALUE"""),2.19855303E8)</f>
        <v>219855303</v>
      </c>
      <c r="I109" s="32">
        <f>IFERROR(__xludf.DUMMYFUNCTION("""COMPUTED_VALUE"""),45947.66666666667)</f>
        <v>45947.66667</v>
      </c>
      <c r="J109" s="25">
        <f>IFERROR(__xludf.DUMMYFUNCTION("""COMPUTED_VALUE"""),36.44)</f>
        <v>36.44</v>
      </c>
      <c r="K109" s="25">
        <f>IFERROR(__xludf.DUMMYFUNCTION("""COMPUTED_VALUE"""),38.38)</f>
        <v>38.38</v>
      </c>
      <c r="L109" s="25">
        <f>IFERROR(__xludf.DUMMYFUNCTION("""COMPUTED_VALUE"""),34.69)</f>
        <v>34.69</v>
      </c>
      <c r="M109" s="25">
        <f>IFERROR(__xludf.DUMMYFUNCTION("""COMPUTED_VALUE"""),37.01)</f>
        <v>37.01</v>
      </c>
      <c r="N109" s="25">
        <f>IFERROR(__xludf.DUMMYFUNCTION("""COMPUTED_VALUE"""),5.23924283E8)</f>
        <v>523924283</v>
      </c>
      <c r="P109" s="32">
        <f>IFERROR(__xludf.DUMMYFUNCTION("""COMPUTED_VALUE"""),45947.66666666667)</f>
        <v>45947.66667</v>
      </c>
      <c r="Q109" s="25">
        <f>IFERROR(__xludf.DUMMYFUNCTION("""COMPUTED_VALUE"""),66.23)</f>
        <v>66.23</v>
      </c>
      <c r="R109" s="25">
        <f>IFERROR(__xludf.DUMMYFUNCTION("""COMPUTED_VALUE"""),68.5)</f>
        <v>68.5</v>
      </c>
      <c r="S109" s="25">
        <f>IFERROR(__xludf.DUMMYFUNCTION("""COMPUTED_VALUE"""),66.0)</f>
        <v>66</v>
      </c>
      <c r="T109" s="25">
        <f>IFERROR(__xludf.DUMMYFUNCTION("""COMPUTED_VALUE"""),68.44)</f>
        <v>68.44</v>
      </c>
      <c r="U109" s="25">
        <f>IFERROR(__xludf.DUMMYFUNCTION("""COMPUTED_VALUE"""),7.0378303E7)</f>
        <v>70378303</v>
      </c>
      <c r="W109" s="32">
        <f>IFERROR(__xludf.DUMMYFUNCTION("""COMPUTED_VALUE"""),45947.66666666667)</f>
        <v>45947.66667</v>
      </c>
      <c r="X109" s="25">
        <f>IFERROR(__xludf.DUMMYFUNCTION("""COMPUTED_VALUE"""),187.97)</f>
        <v>187.97</v>
      </c>
      <c r="Y109" s="25">
        <f>IFERROR(__xludf.DUMMYFUNCTION("""COMPUTED_VALUE"""),190.11)</f>
        <v>190.11</v>
      </c>
      <c r="Z109" s="25">
        <f>IFERROR(__xludf.DUMMYFUNCTION("""COMPUTED_VALUE"""),177.29)</f>
        <v>177.29</v>
      </c>
      <c r="AA109" s="25">
        <f>IFERROR(__xludf.DUMMYFUNCTION("""COMPUTED_VALUE"""),183.22)</f>
        <v>183.22</v>
      </c>
      <c r="AB109" s="25">
        <f>IFERROR(__xludf.DUMMYFUNCTION("""COMPUTED_VALUE"""),9.26433143E8)</f>
        <v>926433143</v>
      </c>
    </row>
    <row r="110">
      <c r="B110" s="32">
        <f>IFERROR(__xludf.DUMMYFUNCTION("""COMPUTED_VALUE"""),45954.66666666667)</f>
        <v>45954.66667</v>
      </c>
      <c r="C110" s="25">
        <f>IFERROR(__xludf.DUMMYFUNCTION("""COMPUTED_VALUE"""),24.57)</f>
        <v>24.57</v>
      </c>
      <c r="D110" s="25">
        <f>IFERROR(__xludf.DUMMYFUNCTION("""COMPUTED_VALUE"""),24.96)</f>
        <v>24.96</v>
      </c>
      <c r="E110" s="25">
        <f>IFERROR(__xludf.DUMMYFUNCTION("""COMPUTED_VALUE"""),24.51)</f>
        <v>24.51</v>
      </c>
      <c r="F110" s="25">
        <f>IFERROR(__xludf.DUMMYFUNCTION("""COMPUTED_VALUE"""),24.76)</f>
        <v>24.76</v>
      </c>
      <c r="G110" s="25">
        <f>IFERROR(__xludf.DUMMYFUNCTION("""COMPUTED_VALUE"""),1.8689581E8)</f>
        <v>186895810</v>
      </c>
      <c r="I110" s="32">
        <f>IFERROR(__xludf.DUMMYFUNCTION("""COMPUTED_VALUE"""),45954.66666666667)</f>
        <v>45954.66667</v>
      </c>
      <c r="J110" s="25">
        <f>IFERROR(__xludf.DUMMYFUNCTION("""COMPUTED_VALUE"""),37.57)</f>
        <v>37.57</v>
      </c>
      <c r="K110" s="25">
        <f>IFERROR(__xludf.DUMMYFUNCTION("""COMPUTED_VALUE"""),41.12)</f>
        <v>41.12</v>
      </c>
      <c r="L110" s="25">
        <f>IFERROR(__xludf.DUMMYFUNCTION("""COMPUTED_VALUE"""),36.04)</f>
        <v>36.04</v>
      </c>
      <c r="M110" s="25">
        <f>IFERROR(__xludf.DUMMYFUNCTION("""COMPUTED_VALUE"""),38.28)</f>
        <v>38.28</v>
      </c>
      <c r="N110" s="25">
        <f>IFERROR(__xludf.DUMMYFUNCTION("""COMPUTED_VALUE"""),6.08819259E8)</f>
        <v>608819259</v>
      </c>
      <c r="P110" s="32">
        <f>IFERROR(__xludf.DUMMYFUNCTION("""COMPUTED_VALUE"""),45954.66666666667)</f>
        <v>45954.66667</v>
      </c>
      <c r="Q110" s="25">
        <f>IFERROR(__xludf.DUMMYFUNCTION("""COMPUTED_VALUE"""),68.43)</f>
        <v>68.43</v>
      </c>
      <c r="R110" s="25">
        <f>IFERROR(__xludf.DUMMYFUNCTION("""COMPUTED_VALUE"""),71.61)</f>
        <v>71.61</v>
      </c>
      <c r="S110" s="25">
        <f>IFERROR(__xludf.DUMMYFUNCTION("""COMPUTED_VALUE"""),67.92)</f>
        <v>67.92</v>
      </c>
      <c r="T110" s="25">
        <f>IFERROR(__xludf.DUMMYFUNCTION("""COMPUTED_VALUE"""),69.71)</f>
        <v>69.71</v>
      </c>
      <c r="U110" s="25">
        <f>IFERROR(__xludf.DUMMYFUNCTION("""COMPUTED_VALUE"""),9.9408646E7)</f>
        <v>99408646</v>
      </c>
      <c r="W110" s="32">
        <f>IFERROR(__xludf.DUMMYFUNCTION("""COMPUTED_VALUE"""),45954.66666666667)</f>
        <v>45954.66667</v>
      </c>
      <c r="X110" s="25">
        <f>IFERROR(__xludf.DUMMYFUNCTION("""COMPUTED_VALUE"""),183.13)</f>
        <v>183.13</v>
      </c>
      <c r="Y110" s="25">
        <f>IFERROR(__xludf.DUMMYFUNCTION("""COMPUTED_VALUE"""),187.47)</f>
        <v>187.47</v>
      </c>
      <c r="Z110" s="25">
        <f>IFERROR(__xludf.DUMMYFUNCTION("""COMPUTED_VALUE"""),176.76)</f>
        <v>176.76</v>
      </c>
      <c r="AA110" s="25">
        <f>IFERROR(__xludf.DUMMYFUNCTION("""COMPUTED_VALUE"""),186.26)</f>
        <v>186.26</v>
      </c>
      <c r="AB110" s="25">
        <f>IFERROR(__xludf.DUMMYFUNCTION("""COMPUTED_VALUE"""),6.57694826E8)</f>
        <v>657694826</v>
      </c>
    </row>
    <row r="111">
      <c r="B111" s="32">
        <f>IFERROR(__xludf.DUMMYFUNCTION("""COMPUTED_VALUE"""),45961.66666666667)</f>
        <v>45961.66667</v>
      </c>
      <c r="C111" s="25">
        <f>IFERROR(__xludf.DUMMYFUNCTION("""COMPUTED_VALUE"""),24.74)</f>
        <v>24.74</v>
      </c>
      <c r="D111" s="25">
        <f>IFERROR(__xludf.DUMMYFUNCTION("""COMPUTED_VALUE"""),24.8)</f>
        <v>24.8</v>
      </c>
      <c r="E111" s="25">
        <f>IFERROR(__xludf.DUMMYFUNCTION("""COMPUTED_VALUE"""),24.15)</f>
        <v>24.15</v>
      </c>
      <c r="F111" s="25">
        <f>IFERROR(__xludf.DUMMYFUNCTION("""COMPUTED_VALUE"""),24.65)</f>
        <v>24.65</v>
      </c>
      <c r="G111" s="25">
        <f>IFERROR(__xludf.DUMMYFUNCTION("""COMPUTED_VALUE"""),4.40741112E8)</f>
        <v>440741112</v>
      </c>
      <c r="I111" s="32">
        <f>IFERROR(__xludf.DUMMYFUNCTION("""COMPUTED_VALUE"""),45961.66666666667)</f>
        <v>45961.66667</v>
      </c>
      <c r="J111" s="25">
        <f>IFERROR(__xludf.DUMMYFUNCTION("""COMPUTED_VALUE"""),38.39)</f>
        <v>38.39</v>
      </c>
      <c r="K111" s="25">
        <f>IFERROR(__xludf.DUMMYFUNCTION("""COMPUTED_VALUE"""),42.48)</f>
        <v>42.48</v>
      </c>
      <c r="L111" s="25">
        <f>IFERROR(__xludf.DUMMYFUNCTION("""COMPUTED_VALUE"""),38.23)</f>
        <v>38.23</v>
      </c>
      <c r="M111" s="25">
        <f>IFERROR(__xludf.DUMMYFUNCTION("""COMPUTED_VALUE"""),39.99)</f>
        <v>39.99</v>
      </c>
      <c r="N111" s="25">
        <f>IFERROR(__xludf.DUMMYFUNCTION("""COMPUTED_VALUE"""),6.13553758E8)</f>
        <v>613553758</v>
      </c>
      <c r="P111" s="32">
        <f>IFERROR(__xludf.DUMMYFUNCTION("""COMPUTED_VALUE"""),45961.66666666667)</f>
        <v>45961.66667</v>
      </c>
      <c r="Q111" s="25">
        <f>IFERROR(__xludf.DUMMYFUNCTION("""COMPUTED_VALUE"""),69.78)</f>
        <v>69.78</v>
      </c>
      <c r="R111" s="25">
        <f>IFERROR(__xludf.DUMMYFUNCTION("""COMPUTED_VALUE"""),70.9)</f>
        <v>70.9</v>
      </c>
      <c r="S111" s="25">
        <f>IFERROR(__xludf.DUMMYFUNCTION("""COMPUTED_VALUE"""),67.9)</f>
        <v>67.9</v>
      </c>
      <c r="T111" s="25">
        <f>IFERROR(__xludf.DUMMYFUNCTION("""COMPUTED_VALUE"""),68.9)</f>
        <v>68.9</v>
      </c>
      <c r="U111" s="25">
        <f>IFERROR(__xludf.DUMMYFUNCTION("""COMPUTED_VALUE"""),7.7814568E7)</f>
        <v>77814568</v>
      </c>
      <c r="W111" s="32">
        <f>IFERROR(__xludf.DUMMYFUNCTION("""COMPUTED_VALUE"""),45961.66666666667)</f>
        <v>45961.66667</v>
      </c>
      <c r="X111" s="25">
        <f>IFERROR(__xludf.DUMMYFUNCTION("""COMPUTED_VALUE"""),189.99)</f>
        <v>189.99</v>
      </c>
      <c r="Y111" s="25">
        <f>IFERROR(__xludf.DUMMYFUNCTION("""COMPUTED_VALUE"""),212.19)</f>
        <v>212.19</v>
      </c>
      <c r="Z111" s="25">
        <f>IFERROR(__xludf.DUMMYFUNCTION("""COMPUTED_VALUE"""),188.43)</f>
        <v>188.43</v>
      </c>
      <c r="AA111" s="25">
        <f>IFERROR(__xludf.DUMMYFUNCTION("""COMPUTED_VALUE"""),202.49)</f>
        <v>202.49</v>
      </c>
      <c r="AB111" s="25">
        <f>IFERROR(__xludf.DUMMYFUNCTION("""COMPUTED_VALUE"""),1.118935069E9)</f>
        <v>1118935069</v>
      </c>
    </row>
    <row r="112">
      <c r="B112" s="32">
        <f>IFERROR(__xludf.DUMMYFUNCTION("""COMPUTED_VALUE"""),45968.66666666667)</f>
        <v>45968.66667</v>
      </c>
      <c r="C112" s="25">
        <f>IFERROR(__xludf.DUMMYFUNCTION("""COMPUTED_VALUE"""),24.59)</f>
        <v>24.59</v>
      </c>
      <c r="D112" s="25">
        <f>IFERROR(__xludf.DUMMYFUNCTION("""COMPUTED_VALUE"""),25.2)</f>
        <v>25.2</v>
      </c>
      <c r="E112" s="25">
        <f>IFERROR(__xludf.DUMMYFUNCTION("""COMPUTED_VALUE"""),24.11)</f>
        <v>24.11</v>
      </c>
      <c r="F112" s="25">
        <f>IFERROR(__xludf.DUMMYFUNCTION("""COMPUTED_VALUE"""),24.43)</f>
        <v>24.43</v>
      </c>
      <c r="G112" s="25">
        <f>IFERROR(__xludf.DUMMYFUNCTION("""COMPUTED_VALUE"""),6.5620585E8)</f>
        <v>656205850</v>
      </c>
      <c r="I112" s="32">
        <f>IFERROR(__xludf.DUMMYFUNCTION("""COMPUTED_VALUE"""),45968.66666666667)</f>
        <v>45968.66667</v>
      </c>
      <c r="J112" s="25">
        <f>IFERROR(__xludf.DUMMYFUNCTION("""COMPUTED_VALUE"""),40.25)</f>
        <v>40.25</v>
      </c>
      <c r="K112" s="25">
        <f>IFERROR(__xludf.DUMMYFUNCTION("""COMPUTED_VALUE"""),40.45)</f>
        <v>40.45</v>
      </c>
      <c r="L112" s="25">
        <f>IFERROR(__xludf.DUMMYFUNCTION("""COMPUTED_VALUE"""),36.63)</f>
        <v>36.63</v>
      </c>
      <c r="M112" s="25">
        <f>IFERROR(__xludf.DUMMYFUNCTION("""COMPUTED_VALUE"""),38.13)</f>
        <v>38.13</v>
      </c>
      <c r="N112" s="25">
        <f>IFERROR(__xludf.DUMMYFUNCTION("""COMPUTED_VALUE"""),4.11300761E8)</f>
        <v>411300761</v>
      </c>
      <c r="P112" s="32">
        <f>IFERROR(__xludf.DUMMYFUNCTION("""COMPUTED_VALUE"""),45968.66666666667)</f>
        <v>45968.66667</v>
      </c>
      <c r="Q112" s="25">
        <f>IFERROR(__xludf.DUMMYFUNCTION("""COMPUTED_VALUE"""),68.8)</f>
        <v>68.8</v>
      </c>
      <c r="R112" s="25">
        <f>IFERROR(__xludf.DUMMYFUNCTION("""COMPUTED_VALUE"""),70.87)</f>
        <v>70.87</v>
      </c>
      <c r="S112" s="25">
        <f>IFERROR(__xludf.DUMMYFUNCTION("""COMPUTED_VALUE"""),67.66)</f>
        <v>67.66</v>
      </c>
      <c r="T112" s="25">
        <f>IFERROR(__xludf.DUMMYFUNCTION("""COMPUTED_VALUE"""),70.55)</f>
        <v>70.55</v>
      </c>
      <c r="U112" s="25">
        <f>IFERROR(__xludf.DUMMYFUNCTION("""COMPUTED_VALUE"""),8.2269219E7)</f>
        <v>82269219</v>
      </c>
      <c r="W112" s="32">
        <f>IFERROR(__xludf.DUMMYFUNCTION("""COMPUTED_VALUE"""),45968.66666666667)</f>
        <v>45968.66667</v>
      </c>
      <c r="X112" s="25">
        <f>IFERROR(__xludf.DUMMYFUNCTION("""COMPUTED_VALUE"""),208.08)</f>
        <v>208.08</v>
      </c>
      <c r="Y112" s="25">
        <f>IFERROR(__xludf.DUMMYFUNCTION("""COMPUTED_VALUE"""),211.34)</f>
        <v>211.34</v>
      </c>
      <c r="Z112" s="25">
        <f>IFERROR(__xludf.DUMMYFUNCTION("""COMPUTED_VALUE"""),178.91)</f>
        <v>178.91</v>
      </c>
      <c r="AA112" s="25">
        <f>IFERROR(__xludf.DUMMYFUNCTION("""COMPUTED_VALUE"""),188.15)</f>
        <v>188.15</v>
      </c>
      <c r="AB112" s="25">
        <f>IFERROR(__xludf.DUMMYFUNCTION("""COMPUTED_VALUE"""),1.02850897E9)</f>
        <v>1028508970</v>
      </c>
    </row>
    <row r="113">
      <c r="B113" s="32">
        <f>IFERROR(__xludf.DUMMYFUNCTION("""COMPUTED_VALUE"""),45975.66666666667)</f>
        <v>45975.66667</v>
      </c>
      <c r="C113" s="25">
        <f>IFERROR(__xludf.DUMMYFUNCTION("""COMPUTED_VALUE"""),24.66)</f>
        <v>24.66</v>
      </c>
      <c r="D113" s="25">
        <f>IFERROR(__xludf.DUMMYFUNCTION("""COMPUTED_VALUE"""),26.48)</f>
        <v>26.48</v>
      </c>
      <c r="E113" s="25">
        <f>IFERROR(__xludf.DUMMYFUNCTION("""COMPUTED_VALUE"""),23.91)</f>
        <v>23.91</v>
      </c>
      <c r="F113" s="25">
        <f>IFERROR(__xludf.DUMMYFUNCTION("""COMPUTED_VALUE"""),25.06)</f>
        <v>25.06</v>
      </c>
      <c r="G113" s="25">
        <f>IFERROR(__xludf.DUMMYFUNCTION("""COMPUTED_VALUE"""),6.04231205E8)</f>
        <v>604231205</v>
      </c>
      <c r="I113" s="32">
        <f>IFERROR(__xludf.DUMMYFUNCTION("""COMPUTED_VALUE"""),45975.66666666667)</f>
        <v>45975.66667</v>
      </c>
      <c r="J113" s="25">
        <f>IFERROR(__xludf.DUMMYFUNCTION("""COMPUTED_VALUE"""),38.93)</f>
        <v>38.93</v>
      </c>
      <c r="K113" s="25">
        <f>IFERROR(__xludf.DUMMYFUNCTION("""COMPUTED_VALUE"""),39.53)</f>
        <v>39.53</v>
      </c>
      <c r="L113" s="25">
        <f>IFERROR(__xludf.DUMMYFUNCTION("""COMPUTED_VALUE"""),34.62)</f>
        <v>34.62</v>
      </c>
      <c r="M113" s="25">
        <f>IFERROR(__xludf.DUMMYFUNCTION("""COMPUTED_VALUE"""),35.52)</f>
        <v>35.52</v>
      </c>
      <c r="N113" s="25">
        <f>IFERROR(__xludf.DUMMYFUNCTION("""COMPUTED_VALUE"""),3.52747473E8)</f>
        <v>352747473</v>
      </c>
      <c r="P113" s="32">
        <f>IFERROR(__xludf.DUMMYFUNCTION("""COMPUTED_VALUE"""),45975.66666666667)</f>
        <v>45975.66667</v>
      </c>
      <c r="Q113" s="25">
        <f>IFERROR(__xludf.DUMMYFUNCTION("""COMPUTED_VALUE"""),70.01)</f>
        <v>70.01</v>
      </c>
      <c r="R113" s="25">
        <f>IFERROR(__xludf.DUMMYFUNCTION("""COMPUTED_VALUE"""),71.89)</f>
        <v>71.89</v>
      </c>
      <c r="S113" s="25">
        <f>IFERROR(__xludf.DUMMYFUNCTION("""COMPUTED_VALUE"""),69.44)</f>
        <v>69.44</v>
      </c>
      <c r="T113" s="25">
        <f>IFERROR(__xludf.DUMMYFUNCTION("""COMPUTED_VALUE"""),71.16)</f>
        <v>71.16</v>
      </c>
      <c r="U113" s="25">
        <f>IFERROR(__xludf.DUMMYFUNCTION("""COMPUTED_VALUE"""),7.2265651E7)</f>
        <v>72265651</v>
      </c>
      <c r="W113" s="32">
        <f>IFERROR(__xludf.DUMMYFUNCTION("""COMPUTED_VALUE"""),45975.66666666667)</f>
        <v>45975.66667</v>
      </c>
      <c r="X113" s="25">
        <f>IFERROR(__xludf.DUMMYFUNCTION("""COMPUTED_VALUE"""),195.11)</f>
        <v>195.11</v>
      </c>
      <c r="Y113" s="25">
        <f>IFERROR(__xludf.DUMMYFUNCTION("""COMPUTED_VALUE"""),199.94)</f>
        <v>199.94</v>
      </c>
      <c r="Z113" s="25">
        <f>IFERROR(__xludf.DUMMYFUNCTION("""COMPUTED_VALUE"""),180.58)</f>
        <v>180.58</v>
      </c>
      <c r="AA113" s="25">
        <f>IFERROR(__xludf.DUMMYFUNCTION("""COMPUTED_VALUE"""),190.17)</f>
        <v>190.17</v>
      </c>
      <c r="AB113" s="25">
        <f>IFERROR(__xludf.DUMMYFUNCTION("""COMPUTED_VALUE"""),9.24330654E8)</f>
        <v>924330654</v>
      </c>
    </row>
    <row r="114">
      <c r="B114" s="32">
        <f>IFERROR(__xludf.DUMMYFUNCTION("""COMPUTED_VALUE"""),45982.66666666667)</f>
        <v>45982.66667</v>
      </c>
      <c r="C114" s="25">
        <f>IFERROR(__xludf.DUMMYFUNCTION("""COMPUTED_VALUE"""),25.11)</f>
        <v>25.11</v>
      </c>
      <c r="D114" s="25">
        <f>IFERROR(__xludf.DUMMYFUNCTION("""COMPUTED_VALUE"""),25.57)</f>
        <v>25.57</v>
      </c>
      <c r="E114" s="25">
        <f>IFERROR(__xludf.DUMMYFUNCTION("""COMPUTED_VALUE"""),24.28)</f>
        <v>24.28</v>
      </c>
      <c r="F114" s="25">
        <f>IFERROR(__xludf.DUMMYFUNCTION("""COMPUTED_VALUE"""),25.04)</f>
        <v>25.04</v>
      </c>
      <c r="G114" s="25">
        <f>IFERROR(__xludf.DUMMYFUNCTION("""COMPUTED_VALUE"""),3.41616794E8)</f>
        <v>341616794</v>
      </c>
      <c r="I114" s="32">
        <f>IFERROR(__xludf.DUMMYFUNCTION("""COMPUTED_VALUE"""),45982.66666666667)</f>
        <v>45982.66667</v>
      </c>
      <c r="J114" s="25">
        <f>IFERROR(__xludf.DUMMYFUNCTION("""COMPUTED_VALUE"""),35.45)</f>
        <v>35.45</v>
      </c>
      <c r="K114" s="25">
        <f>IFERROR(__xludf.DUMMYFUNCTION("""COMPUTED_VALUE"""),36.68)</f>
        <v>36.68</v>
      </c>
      <c r="L114" s="25">
        <f>IFERROR(__xludf.DUMMYFUNCTION("""COMPUTED_VALUE"""),32.89)</f>
        <v>32.89</v>
      </c>
      <c r="M114" s="25">
        <f>IFERROR(__xludf.DUMMYFUNCTION("""COMPUTED_VALUE"""),34.5)</f>
        <v>34.5</v>
      </c>
      <c r="N114" s="25">
        <f>IFERROR(__xludf.DUMMYFUNCTION("""COMPUTED_VALUE"""),4.0323116E8)</f>
        <v>403231160</v>
      </c>
      <c r="P114" s="32">
        <f>IFERROR(__xludf.DUMMYFUNCTION("""COMPUTED_VALUE"""),45982.66666666667)</f>
        <v>45982.66667</v>
      </c>
      <c r="Q114" s="25">
        <f>IFERROR(__xludf.DUMMYFUNCTION("""COMPUTED_VALUE"""),71.2)</f>
        <v>71.2</v>
      </c>
      <c r="R114" s="25">
        <f>IFERROR(__xludf.DUMMYFUNCTION("""COMPUTED_VALUE"""),73.19)</f>
        <v>73.19</v>
      </c>
      <c r="S114" s="25">
        <f>IFERROR(__xludf.DUMMYFUNCTION("""COMPUTED_VALUE"""),70.57)</f>
        <v>70.57</v>
      </c>
      <c r="T114" s="25">
        <f>IFERROR(__xludf.DUMMYFUNCTION("""COMPUTED_VALUE"""),72.95)</f>
        <v>72.95</v>
      </c>
      <c r="U114" s="25">
        <f>IFERROR(__xludf.DUMMYFUNCTION("""COMPUTED_VALUE"""),8.1901809E7)</f>
        <v>81901809</v>
      </c>
      <c r="W114" s="32">
        <f>IFERROR(__xludf.DUMMYFUNCTION("""COMPUTED_VALUE"""),45982.66666666667)</f>
        <v>45982.66667</v>
      </c>
      <c r="X114" s="25">
        <f>IFERROR(__xludf.DUMMYFUNCTION("""COMPUTED_VALUE"""),185.97)</f>
        <v>185.97</v>
      </c>
      <c r="Y114" s="25">
        <f>IFERROR(__xludf.DUMMYFUNCTION("""COMPUTED_VALUE"""),196.0)</f>
        <v>196</v>
      </c>
      <c r="Z114" s="25">
        <f>IFERROR(__xludf.DUMMYFUNCTION("""COMPUTED_VALUE"""),172.93)</f>
        <v>172.93</v>
      </c>
      <c r="AA114" s="25">
        <f>IFERROR(__xludf.DUMMYFUNCTION("""COMPUTED_VALUE"""),178.88)</f>
        <v>178.88</v>
      </c>
      <c r="AB114" s="25">
        <f>IFERROR(__xludf.DUMMYFUNCTION("""COMPUTED_VALUE"""),1.324905173E9)</f>
        <v>1324905173</v>
      </c>
    </row>
    <row r="116">
      <c r="F116" s="53" t="s">
        <v>61</v>
      </c>
      <c r="M116" s="53" t="s">
        <v>62</v>
      </c>
      <c r="T116" s="53" t="s">
        <v>63</v>
      </c>
      <c r="AA116" s="53" t="s">
        <v>64</v>
      </c>
    </row>
  </sheetData>
  <drawing r:id="rId1"/>
</worksheet>
</file>